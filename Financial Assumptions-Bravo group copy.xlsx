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C:\Users\mohanad.homran\Desktop\pip\"/>
    </mc:Choice>
  </mc:AlternateContent>
  <xr:revisionPtr revIDLastSave="0" documentId="8_{9560CA5E-7534-754D-A89A-23FF81ED5F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?from_ILS_amount_1" localSheetId="1">Sheet2!$B$2:$D$12</definedName>
    <definedName name="_xlnm.Print_Area" localSheetId="0">Sheet1!$A$1:$O$178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50" i="1" l="1"/>
  <c r="Q155" i="1"/>
  <c r="M40" i="1"/>
  <c r="M39" i="1"/>
  <c r="M43" i="1"/>
  <c r="M42" i="1"/>
  <c r="M44" i="1"/>
  <c r="E143" i="1"/>
  <c r="G143" i="1"/>
  <c r="I143" i="1"/>
  <c r="I100" i="1"/>
  <c r="I101" i="1"/>
  <c r="I102" i="1"/>
  <c r="I103" i="1"/>
  <c r="I104" i="1"/>
  <c r="I99" i="1"/>
  <c r="I89" i="1"/>
  <c r="I90" i="1"/>
  <c r="I91" i="1"/>
  <c r="I92" i="1"/>
  <c r="I87" i="1"/>
  <c r="I77" i="1"/>
  <c r="I79" i="1"/>
  <c r="I80" i="1"/>
  <c r="I81" i="1"/>
  <c r="I82" i="1"/>
  <c r="E112" i="1"/>
  <c r="I93" i="1"/>
  <c r="E127" i="1"/>
  <c r="I105" i="1"/>
  <c r="E138" i="1"/>
  <c r="E139" i="1"/>
  <c r="E145" i="1"/>
  <c r="E174" i="1"/>
  <c r="G138" i="1"/>
  <c r="G127" i="1"/>
  <c r="E128" i="1"/>
  <c r="E132" i="1"/>
  <c r="E173" i="1"/>
  <c r="G112" i="1"/>
  <c r="E113" i="1"/>
  <c r="E121" i="1"/>
  <c r="E172" i="1"/>
  <c r="E163" i="1"/>
  <c r="E162" i="1"/>
  <c r="I127" i="1"/>
  <c r="G128" i="1"/>
  <c r="G132" i="1"/>
  <c r="F173" i="1"/>
  <c r="G113" i="1"/>
  <c r="G121" i="1"/>
  <c r="F172" i="1"/>
  <c r="I112" i="1"/>
  <c r="G139" i="1"/>
  <c r="G145" i="1"/>
  <c r="F174" i="1"/>
  <c r="I138" i="1"/>
  <c r="E165" i="1"/>
  <c r="I113" i="1"/>
  <c r="I121" i="1"/>
  <c r="G172" i="1"/>
  <c r="I139" i="1"/>
  <c r="I145" i="1"/>
  <c r="G174" i="1"/>
  <c r="I128" i="1"/>
  <c r="I132" i="1"/>
  <c r="G173" i="1"/>
  <c r="K64" i="1"/>
  <c r="K68" i="1"/>
  <c r="K67" i="1"/>
  <c r="K66" i="1"/>
  <c r="K65" i="1"/>
  <c r="K58" i="1"/>
  <c r="K59" i="1"/>
  <c r="K69" i="1"/>
  <c r="J29" i="1"/>
  <c r="J33" i="1"/>
  <c r="J24" i="1"/>
  <c r="J32" i="1"/>
  <c r="E171" i="1"/>
  <c r="J34" i="1"/>
  <c r="E164" i="1"/>
  <c r="E166" i="1"/>
  <c r="E170" i="1"/>
  <c r="E175" i="1"/>
  <c r="E154" i="1"/>
  <c r="E155" i="1"/>
  <c r="G163" i="1"/>
  <c r="E157" i="1"/>
  <c r="E156" i="1"/>
  <c r="G164" i="1"/>
  <c r="M28" i="1"/>
  <c r="M20" i="1"/>
  <c r="M22" i="1"/>
  <c r="M27" i="1"/>
  <c r="M18" i="1"/>
  <c r="M17" i="1"/>
  <c r="M23" i="1"/>
  <c r="G162" i="1"/>
  <c r="F170" i="1"/>
  <c r="F175" i="1"/>
  <c r="F171" i="1"/>
  <c r="M29" i="1"/>
  <c r="M33" i="1"/>
  <c r="F154" i="1"/>
  <c r="M24" i="1"/>
  <c r="M32" i="1"/>
  <c r="F155" i="1"/>
  <c r="I163" i="1"/>
  <c r="F156" i="1"/>
  <c r="I164" i="1"/>
  <c r="F157" i="1"/>
  <c r="I165" i="1"/>
  <c r="G165" i="1"/>
  <c r="G166" i="1"/>
  <c r="I162" i="1"/>
  <c r="G170" i="1"/>
  <c r="G175" i="1"/>
  <c r="G171" i="1"/>
  <c r="M34" i="1"/>
  <c r="I16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interval="60" name="Connection" type="4" refreshedVersion="5" background="1" saveData="1">
    <webPr sourceData="1" parsePre="1" consecutive="1" xl2000="1" url="https://www.x-rates.com/table/?from=ILS&amp;amount=1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<sst xmlns="http://schemas.openxmlformats.org/spreadsheetml/2006/main" count="150" uniqueCount="105">
  <si>
    <t>الفرضيات المالية:</t>
  </si>
  <si>
    <t>العملة المستخدمة</t>
  </si>
  <si>
    <t>عدد أيام العمل في السنة</t>
  </si>
  <si>
    <t>عدد ساعات العمل في اليوم</t>
  </si>
  <si>
    <t>نسبة الزيادة السنوية في المبيعات</t>
  </si>
  <si>
    <t>نسبة الزيادة السنوية في التكاليف</t>
  </si>
  <si>
    <t>الأصول الثابتة</t>
  </si>
  <si>
    <t>تكاليف التأسيس</t>
  </si>
  <si>
    <t>المعدات المساعدة</t>
  </si>
  <si>
    <t>تجهيز المكان (بنية تحتية, نظام إنذار وحريق, كهرباء 3 فاز....)</t>
  </si>
  <si>
    <t>أثاث مكتبي وآلات مكتبية</t>
  </si>
  <si>
    <t>تراخيص</t>
  </si>
  <si>
    <t>رأس المال العامل</t>
  </si>
  <si>
    <t>أخرى _____</t>
  </si>
  <si>
    <t>Israeli Shekel</t>
  </si>
  <si>
    <t>1.00 ILS</t>
  </si>
  <si>
    <t>inv. 1.00 ILS</t>
  </si>
  <si>
    <t>US Dollar</t>
  </si>
  <si>
    <t>Euro</t>
  </si>
  <si>
    <t>British Pound</t>
  </si>
  <si>
    <t>Indian Rupee</t>
  </si>
  <si>
    <t>Australian Dollar</t>
  </si>
  <si>
    <t>Canadian Dollar</t>
  </si>
  <si>
    <t>Singapore Dollar</t>
  </si>
  <si>
    <t>Swiss Franc</t>
  </si>
  <si>
    <t>Malaysian Ringgit</t>
  </si>
  <si>
    <t>Japanese Yen</t>
  </si>
  <si>
    <t>تكاليف المواد الخام</t>
  </si>
  <si>
    <t xml:space="preserve">هذه التكاليف تكفي لأنتاج </t>
  </si>
  <si>
    <t>الوحدة (                       )</t>
  </si>
  <si>
    <t>المادة</t>
  </si>
  <si>
    <t>الكمية المطلوبة</t>
  </si>
  <si>
    <t>الوحدة</t>
  </si>
  <si>
    <t>سعر الوحدة</t>
  </si>
  <si>
    <t>المجموع</t>
  </si>
  <si>
    <t>المجموع ILS</t>
  </si>
  <si>
    <t>المبيعات السنوية المتوقعة</t>
  </si>
  <si>
    <t>المنتج 2:</t>
  </si>
  <si>
    <t>المنتج 1</t>
  </si>
  <si>
    <t>المنتج 2</t>
  </si>
  <si>
    <t>المنتج 3</t>
  </si>
  <si>
    <t>المنتج 4</t>
  </si>
  <si>
    <t>الوحدة:</t>
  </si>
  <si>
    <t>الزيادة السنوية في المبيعات</t>
  </si>
  <si>
    <t>تكلفة الأيدي العاملة</t>
  </si>
  <si>
    <t>الوظيفة</t>
  </si>
  <si>
    <t>العدد</t>
  </si>
  <si>
    <t>الأجر السنوي</t>
  </si>
  <si>
    <t>قيمة المبيعات</t>
  </si>
  <si>
    <t>كمية المبيعات</t>
  </si>
  <si>
    <t>إنتاج</t>
  </si>
  <si>
    <t>إداريون</t>
  </si>
  <si>
    <t>الإدارة</t>
  </si>
  <si>
    <t>البند</t>
  </si>
  <si>
    <t>إستحقاقات موظفين</t>
  </si>
  <si>
    <t>إيجار</t>
  </si>
  <si>
    <t>تأمينات</t>
  </si>
  <si>
    <t>ضيافة</t>
  </si>
  <si>
    <t>إتصالات</t>
  </si>
  <si>
    <t>قرطاسية</t>
  </si>
  <si>
    <t>أخرى</t>
  </si>
  <si>
    <t>رواتب إداريين</t>
  </si>
  <si>
    <t>المبيعات والتسويق</t>
  </si>
  <si>
    <t>مبيعات وتسويق</t>
  </si>
  <si>
    <t>ترويج</t>
  </si>
  <si>
    <t>رواتب مبيعات وتسويق</t>
  </si>
  <si>
    <t>معارض</t>
  </si>
  <si>
    <t>الإنتاج</t>
  </si>
  <si>
    <t>رواتب إلإنتاج</t>
  </si>
  <si>
    <t>كهرباء</t>
  </si>
  <si>
    <t>ماء</t>
  </si>
  <si>
    <t>نسبة إستغلال القدرة الإنتاجية التي بنيت عليها الخطة المالية</t>
  </si>
  <si>
    <t>الأجر للشهر \للساعة</t>
  </si>
  <si>
    <t>عدد الأشهر\الساعات السنوي</t>
  </si>
  <si>
    <t>التكاليف التأسيسية الكلية</t>
  </si>
  <si>
    <t>تهالك الأصول الثابتة</t>
  </si>
  <si>
    <t>نسبة التهالك السنوي</t>
  </si>
  <si>
    <t>قيمة التهالك</t>
  </si>
  <si>
    <t>إسم المشروع:</t>
  </si>
  <si>
    <t>إسم صاحب المشروع:</t>
  </si>
  <si>
    <t>التاريخ:</t>
  </si>
  <si>
    <t>أسعار الصرف بين العملات المختلفة من شيكلILS  الى دولار امريكي USD</t>
  </si>
  <si>
    <t>التكاليف التشغيلية</t>
  </si>
  <si>
    <t>مواد خام تكفي لشهر</t>
  </si>
  <si>
    <t>أجور تكفي لشهر</t>
  </si>
  <si>
    <t>التهالك</t>
  </si>
  <si>
    <t>حساب الأرباح</t>
  </si>
  <si>
    <t>المبيعات السنوية</t>
  </si>
  <si>
    <t>تكاليف الخام</t>
  </si>
  <si>
    <t>تكاليف الإدارة</t>
  </si>
  <si>
    <t>تكاليف المبيعات</t>
  </si>
  <si>
    <t>تكاليف الإنتاج</t>
  </si>
  <si>
    <t>الأرباح</t>
  </si>
  <si>
    <t>الوحدة (              طن         )</t>
  </si>
  <si>
    <t>محاسب</t>
  </si>
  <si>
    <t>:        Product Recommendation and Cross Selling System</t>
  </si>
  <si>
    <t>Bravo team</t>
  </si>
  <si>
    <t>دولار $</t>
  </si>
  <si>
    <t>القدرة الإنتاجية الكلية في اليوم (الوحدة                           Account            )</t>
  </si>
  <si>
    <t>المعدات المساعدة(لابتوب , طابعه ,......)</t>
  </si>
  <si>
    <t>مبرمج</t>
  </si>
  <si>
    <t>رجل مبيعات</t>
  </si>
  <si>
    <t>اداري</t>
  </si>
  <si>
    <t>account</t>
  </si>
  <si>
    <t>حجز السيرفر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</si>
</sst>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ILS]\ #,##0.00"/>
    <numFmt numFmtId="165" formatCode="[$ILS]\ #,##0"/>
    <numFmt numFmtId="166" formatCode="[$USD]\ #,##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Border="1" applyAlignment="1">
      <alignment horizontal="center"/>
    </xf>
    <xf numFmtId="0" fontId="3" fillId="0" borderId="3" xfId="0" applyFont="1" applyBorder="1"/>
    <xf numFmtId="0" fontId="3" fillId="0" borderId="1" xfId="0" applyFont="1" applyBorder="1"/>
    <xf numFmtId="0" fontId="1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10" fontId="0" fillId="0" borderId="0" xfId="0" applyNumberFormat="1" applyBorder="1"/>
    <xf numFmtId="0" fontId="3" fillId="0" borderId="2" xfId="0" applyFont="1" applyBorder="1" applyAlignment="1">
      <alignment horizontal="right"/>
    </xf>
    <xf numFmtId="0" fontId="0" fillId="3" borderId="1" xfId="0" applyFill="1" applyBorder="1"/>
    <xf numFmtId="10" fontId="0" fillId="3" borderId="1" xfId="0" applyNumberFormat="1" applyFill="1" applyBorder="1"/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0" fillId="0" borderId="6" xfId="0" applyFill="1" applyBorder="1" applyAlignment="1">
      <alignment vertical="center"/>
    </xf>
    <xf numFmtId="0" fontId="1" fillId="0" borderId="0" xfId="0" applyFont="1"/>
    <xf numFmtId="165" fontId="3" fillId="0" borderId="1" xfId="0" applyNumberFormat="1" applyFont="1" applyBorder="1"/>
    <xf numFmtId="164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9" fontId="0" fillId="3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1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?from=ILS&amp;amount=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75"/>
  <sheetViews>
    <sheetView showGridLines="0" rightToLeft="1" tabSelected="1" view="pageBreakPreview" topLeftCell="A120" zoomScale="60" zoomScaleNormal="80" workbookViewId="0">
      <selection activeCell="E142" sqref="E142:F142"/>
    </sheetView>
  </sheetViews>
  <sheetFormatPr defaultRowHeight="15" x14ac:dyDescent="0.2"/>
  <cols>
    <col min="2" max="2" width="4.03515625" customWidth="1"/>
    <col min="4" max="4" width="13.71875" customWidth="1"/>
    <col min="5" max="5" width="17.75390625" customWidth="1"/>
    <col min="6" max="6" width="15.87109375" customWidth="1"/>
    <col min="7" max="7" width="17.21875" customWidth="1"/>
    <col min="10" max="10" width="10.22265625" customWidth="1"/>
    <col min="11" max="12" width="8.203125" customWidth="1"/>
    <col min="13" max="13" width="10.22265625" bestFit="1" customWidth="1"/>
    <col min="14" max="14" width="5.24609375" customWidth="1"/>
    <col min="15" max="15" width="1.4765625" customWidth="1"/>
  </cols>
  <sheetData>
    <row r="1" spans="2:15" ht="18.75" x14ac:dyDescent="0.25">
      <c r="C1" s="29" t="s">
        <v>78</v>
      </c>
      <c r="D1" s="29"/>
      <c r="E1" s="30" t="s">
        <v>95</v>
      </c>
      <c r="F1" s="30"/>
      <c r="G1" s="30"/>
      <c r="H1" s="30"/>
      <c r="I1" s="29" t="s">
        <v>79</v>
      </c>
      <c r="J1" s="29"/>
      <c r="K1" s="31" t="s">
        <v>96</v>
      </c>
      <c r="L1" s="31"/>
      <c r="M1" s="31"/>
      <c r="N1" s="31"/>
      <c r="O1" s="31"/>
    </row>
    <row r="2" spans="2:15" ht="18.75" x14ac:dyDescent="0.25">
      <c r="C2" s="1"/>
      <c r="D2" s="1"/>
      <c r="E2" s="1"/>
      <c r="F2" s="1"/>
      <c r="G2" s="1"/>
      <c r="H2" s="1"/>
      <c r="I2" s="1"/>
      <c r="J2" s="1"/>
      <c r="K2" s="1"/>
      <c r="L2" s="1" t="s">
        <v>80</v>
      </c>
      <c r="M2" s="32">
        <v>44618</v>
      </c>
      <c r="N2" s="33"/>
      <c r="O2" s="33"/>
    </row>
    <row r="3" spans="2:15" ht="18.75" x14ac:dyDescent="0.25">
      <c r="C3" s="55" t="s">
        <v>0</v>
      </c>
      <c r="D3" s="55"/>
      <c r="E3" s="55"/>
    </row>
    <row r="4" spans="2:15" ht="18.75" x14ac:dyDescent="0.25">
      <c r="B4" s="2">
        <v>1</v>
      </c>
      <c r="C4" s="34" t="s">
        <v>1</v>
      </c>
      <c r="D4" s="34"/>
      <c r="E4" s="34"/>
      <c r="F4" s="34"/>
      <c r="G4" s="34"/>
      <c r="H4" s="34"/>
      <c r="I4" s="34"/>
      <c r="J4" s="51" t="s">
        <v>97</v>
      </c>
      <c r="K4" s="51"/>
      <c r="L4" s="51"/>
    </row>
    <row r="5" spans="2:15" ht="18.75" x14ac:dyDescent="0.25">
      <c r="B5" s="2">
        <v>2</v>
      </c>
      <c r="C5" s="34" t="s">
        <v>81</v>
      </c>
      <c r="D5" s="34"/>
      <c r="E5" s="34"/>
      <c r="F5" s="34"/>
      <c r="G5" s="34"/>
      <c r="H5" s="34"/>
      <c r="I5" s="34"/>
      <c r="J5" s="51">
        <v>0.312</v>
      </c>
      <c r="K5" s="51"/>
      <c r="L5" s="51"/>
    </row>
    <row r="6" spans="2:15" ht="18.75" x14ac:dyDescent="0.25">
      <c r="B6" s="2">
        <v>3</v>
      </c>
      <c r="C6" s="34" t="s">
        <v>2</v>
      </c>
      <c r="D6" s="34"/>
      <c r="E6" s="34"/>
      <c r="F6" s="34"/>
      <c r="G6" s="34"/>
      <c r="H6" s="34"/>
      <c r="I6" s="34"/>
      <c r="J6" s="51">
        <v>250</v>
      </c>
      <c r="K6" s="51"/>
      <c r="L6" s="51"/>
    </row>
    <row r="7" spans="2:15" ht="18.75" x14ac:dyDescent="0.25">
      <c r="B7" s="2">
        <v>4</v>
      </c>
      <c r="C7" s="34" t="s">
        <v>3</v>
      </c>
      <c r="D7" s="34"/>
      <c r="E7" s="34"/>
      <c r="F7" s="34"/>
      <c r="G7" s="34"/>
      <c r="H7" s="34"/>
      <c r="I7" s="34"/>
      <c r="J7" s="51">
        <v>8</v>
      </c>
      <c r="K7" s="51"/>
      <c r="L7" s="51"/>
    </row>
    <row r="8" spans="2:15" ht="18.75" x14ac:dyDescent="0.25">
      <c r="B8" s="2">
        <v>5</v>
      </c>
      <c r="C8" s="34" t="s">
        <v>98</v>
      </c>
      <c r="D8" s="34"/>
      <c r="E8" s="34"/>
      <c r="F8" s="34"/>
      <c r="G8" s="34"/>
      <c r="H8" s="34"/>
      <c r="I8" s="34"/>
      <c r="J8" s="51">
        <v>0.23</v>
      </c>
      <c r="K8" s="51"/>
      <c r="L8" s="51"/>
    </row>
    <row r="9" spans="2:15" ht="18.75" x14ac:dyDescent="0.25">
      <c r="B9" s="2">
        <v>6</v>
      </c>
      <c r="C9" s="34" t="s">
        <v>71</v>
      </c>
      <c r="D9" s="34"/>
      <c r="E9" s="34"/>
      <c r="F9" s="34"/>
      <c r="G9" s="34"/>
      <c r="H9" s="34"/>
      <c r="I9" s="34"/>
      <c r="J9" s="35">
        <v>0.3</v>
      </c>
      <c r="K9" s="35"/>
      <c r="L9" s="35"/>
    </row>
    <row r="10" spans="2:15" ht="18.75" x14ac:dyDescent="0.25">
      <c r="B10" s="2">
        <v>7</v>
      </c>
      <c r="C10" s="34" t="s">
        <v>4</v>
      </c>
      <c r="D10" s="34"/>
      <c r="E10" s="34"/>
      <c r="F10" s="34"/>
      <c r="G10" s="34"/>
      <c r="H10" s="34"/>
      <c r="I10" s="34"/>
      <c r="J10" s="35">
        <v>0.1</v>
      </c>
      <c r="K10" s="35"/>
      <c r="L10" s="35"/>
    </row>
    <row r="11" spans="2:15" ht="18.75" x14ac:dyDescent="0.25">
      <c r="B11" s="2">
        <v>8</v>
      </c>
      <c r="C11" s="34" t="s">
        <v>5</v>
      </c>
      <c r="D11" s="34"/>
      <c r="E11" s="34"/>
      <c r="F11" s="34"/>
      <c r="G11" s="34"/>
      <c r="H11" s="34"/>
      <c r="I11" s="34"/>
      <c r="J11" s="35">
        <v>0.05</v>
      </c>
      <c r="K11" s="35"/>
      <c r="L11" s="35"/>
    </row>
    <row r="14" spans="2:15" ht="18.75" x14ac:dyDescent="0.25">
      <c r="C14" s="56" t="s">
        <v>7</v>
      </c>
      <c r="D14" s="56"/>
    </row>
    <row r="15" spans="2:15" ht="18.75" x14ac:dyDescent="0.25">
      <c r="C15" s="36" t="s">
        <v>6</v>
      </c>
      <c r="D15" s="36"/>
    </row>
    <row r="16" spans="2:15" ht="18.75" x14ac:dyDescent="0.25">
      <c r="C16" s="34"/>
      <c r="D16" s="34"/>
      <c r="E16" s="34"/>
      <c r="F16" s="34"/>
      <c r="G16" s="34"/>
      <c r="H16" s="34"/>
      <c r="I16" s="34"/>
      <c r="J16" s="54"/>
      <c r="K16" s="54"/>
      <c r="L16" s="54"/>
      <c r="M16" s="27"/>
      <c r="N16" s="27"/>
      <c r="O16" s="27"/>
    </row>
    <row r="17" spans="2:15" ht="18.75" x14ac:dyDescent="0.25">
      <c r="B17">
        <v>2</v>
      </c>
      <c r="C17" s="34" t="s">
        <v>99</v>
      </c>
      <c r="D17" s="34"/>
      <c r="E17" s="34"/>
      <c r="F17" s="34"/>
      <c r="G17" s="34"/>
      <c r="H17" s="34"/>
      <c r="I17" s="34"/>
      <c r="J17" s="54">
        <v>19000</v>
      </c>
      <c r="K17" s="54"/>
      <c r="L17" s="54"/>
      <c r="M17" s="27">
        <f t="shared" ref="M17:M23" si="0">J17*$J$5</f>
        <v>5928</v>
      </c>
      <c r="N17" s="27"/>
      <c r="O17" s="27"/>
    </row>
    <row r="18" spans="2:15" ht="18.75" x14ac:dyDescent="0.25">
      <c r="B18">
        <v>3</v>
      </c>
      <c r="C18" s="34" t="s">
        <v>9</v>
      </c>
      <c r="D18" s="34"/>
      <c r="E18" s="34"/>
      <c r="F18" s="34"/>
      <c r="G18" s="34"/>
      <c r="H18" s="34"/>
      <c r="I18" s="34"/>
      <c r="J18" s="54">
        <v>1500</v>
      </c>
      <c r="K18" s="54"/>
      <c r="L18" s="54"/>
      <c r="M18" s="27">
        <f t="shared" si="0"/>
        <v>468</v>
      </c>
      <c r="N18" s="27"/>
      <c r="O18" s="27"/>
    </row>
    <row r="19" spans="2:15" ht="18.75" x14ac:dyDescent="0.25">
      <c r="C19" s="34"/>
      <c r="D19" s="34"/>
      <c r="E19" s="34"/>
      <c r="F19" s="34"/>
      <c r="G19" s="34"/>
      <c r="H19" s="34"/>
      <c r="I19" s="34"/>
      <c r="J19" s="54"/>
      <c r="K19" s="54"/>
      <c r="L19" s="54"/>
      <c r="M19" s="27"/>
      <c r="N19" s="27"/>
      <c r="O19" s="27"/>
    </row>
    <row r="20" spans="2:15" ht="18.75" x14ac:dyDescent="0.25">
      <c r="B20">
        <v>6</v>
      </c>
      <c r="C20" s="34" t="s">
        <v>10</v>
      </c>
      <c r="D20" s="34"/>
      <c r="E20" s="34"/>
      <c r="F20" s="34"/>
      <c r="G20" s="34"/>
      <c r="H20" s="34"/>
      <c r="I20" s="34"/>
      <c r="J20" s="54">
        <v>4000</v>
      </c>
      <c r="K20" s="54"/>
      <c r="L20" s="54"/>
      <c r="M20" s="27">
        <f t="shared" si="0"/>
        <v>1248</v>
      </c>
      <c r="N20" s="27"/>
      <c r="O20" s="27"/>
    </row>
    <row r="21" spans="2:15" ht="18.75" x14ac:dyDescent="0.25">
      <c r="C21" s="34"/>
      <c r="D21" s="34"/>
      <c r="E21" s="34"/>
      <c r="F21" s="34"/>
      <c r="G21" s="34"/>
      <c r="H21" s="34"/>
      <c r="I21" s="34"/>
      <c r="J21" s="54"/>
      <c r="K21" s="54"/>
      <c r="L21" s="54"/>
      <c r="M21" s="27"/>
      <c r="N21" s="27"/>
      <c r="O21" s="27"/>
    </row>
    <row r="22" spans="2:15" ht="18.75" x14ac:dyDescent="0.25">
      <c r="B22">
        <v>8</v>
      </c>
      <c r="C22" s="34" t="s">
        <v>11</v>
      </c>
      <c r="D22" s="34"/>
      <c r="E22" s="34"/>
      <c r="F22" s="34"/>
      <c r="G22" s="34"/>
      <c r="H22" s="34"/>
      <c r="I22" s="34"/>
      <c r="J22" s="54">
        <v>9500</v>
      </c>
      <c r="K22" s="54"/>
      <c r="L22" s="54"/>
      <c r="M22" s="27">
        <f t="shared" si="0"/>
        <v>2964</v>
      </c>
      <c r="N22" s="27"/>
      <c r="O22" s="27"/>
    </row>
    <row r="23" spans="2:15" ht="18.75" x14ac:dyDescent="0.25">
      <c r="B23">
        <v>9</v>
      </c>
      <c r="C23" s="34" t="s">
        <v>13</v>
      </c>
      <c r="D23" s="34"/>
      <c r="E23" s="34"/>
      <c r="F23" s="34"/>
      <c r="G23" s="34"/>
      <c r="H23" s="34"/>
      <c r="I23" s="34"/>
      <c r="J23" s="54">
        <v>0</v>
      </c>
      <c r="K23" s="54"/>
      <c r="L23" s="54"/>
      <c r="M23" s="27">
        <f t="shared" si="0"/>
        <v>0</v>
      </c>
      <c r="N23" s="27"/>
      <c r="O23" s="27"/>
    </row>
    <row r="24" spans="2:15" ht="18.75" x14ac:dyDescent="0.25">
      <c r="C24" s="38" t="s">
        <v>34</v>
      </c>
      <c r="D24" s="38"/>
      <c r="E24" s="38"/>
      <c r="F24" s="38"/>
      <c r="G24" s="38"/>
      <c r="H24" s="38"/>
      <c r="I24" s="38"/>
      <c r="J24" s="39">
        <f>SUM(J16:L23)</f>
        <v>34000</v>
      </c>
      <c r="K24" s="39"/>
      <c r="L24" s="39"/>
      <c r="M24" s="27">
        <f>SUM(M16:O23)</f>
        <v>10608</v>
      </c>
      <c r="N24" s="27"/>
      <c r="O24" s="27"/>
    </row>
    <row r="26" spans="2:15" ht="18.75" x14ac:dyDescent="0.25">
      <c r="C26" s="36" t="s">
        <v>12</v>
      </c>
      <c r="D26" s="36"/>
    </row>
    <row r="27" spans="2:15" ht="18.75" x14ac:dyDescent="0.25">
      <c r="C27" s="34" t="s">
        <v>83</v>
      </c>
      <c r="D27" s="34"/>
      <c r="E27" s="34"/>
      <c r="F27" s="34"/>
      <c r="G27" s="34"/>
      <c r="H27" s="34"/>
      <c r="I27" s="34"/>
      <c r="J27" s="54">
        <v>0</v>
      </c>
      <c r="K27" s="54"/>
      <c r="L27" s="54"/>
      <c r="M27" s="27">
        <f>J27*$J$5</f>
        <v>0</v>
      </c>
      <c r="N27" s="27"/>
      <c r="O27" s="27"/>
    </row>
    <row r="28" spans="2:15" ht="18.75" x14ac:dyDescent="0.25">
      <c r="C28" s="34" t="s">
        <v>84</v>
      </c>
      <c r="D28" s="34"/>
      <c r="E28" s="34"/>
      <c r="F28" s="34"/>
      <c r="G28" s="34"/>
      <c r="H28" s="34"/>
      <c r="I28" s="34"/>
      <c r="J28" s="54">
        <v>0</v>
      </c>
      <c r="K28" s="54"/>
      <c r="L28" s="54"/>
      <c r="M28" s="27">
        <f>J28*$J$5</f>
        <v>0</v>
      </c>
      <c r="N28" s="27"/>
      <c r="O28" s="27"/>
    </row>
    <row r="29" spans="2:15" ht="18.75" x14ac:dyDescent="0.25">
      <c r="C29" s="38" t="s">
        <v>34</v>
      </c>
      <c r="D29" s="38"/>
      <c r="E29" s="38"/>
      <c r="F29" s="38"/>
      <c r="G29" s="38"/>
      <c r="H29" s="38"/>
      <c r="I29" s="38"/>
      <c r="J29" s="39">
        <f>SUM(J27:L28)</f>
        <v>0</v>
      </c>
      <c r="K29" s="39"/>
      <c r="L29" s="39"/>
      <c r="M29" s="27">
        <f>SUM(M27:O28)</f>
        <v>0</v>
      </c>
      <c r="N29" s="27"/>
      <c r="O29" s="27"/>
    </row>
    <row r="31" spans="2:15" ht="18.75" x14ac:dyDescent="0.25">
      <c r="C31" s="40" t="s">
        <v>74</v>
      </c>
      <c r="D31" s="40"/>
      <c r="E31" s="40"/>
    </row>
    <row r="32" spans="2:15" ht="18.75" x14ac:dyDescent="0.25">
      <c r="C32" s="34" t="s">
        <v>6</v>
      </c>
      <c r="D32" s="34"/>
      <c r="E32" s="34"/>
      <c r="F32" s="34"/>
      <c r="G32" s="34"/>
      <c r="H32" s="34"/>
      <c r="I32" s="34"/>
      <c r="J32" s="39">
        <f>J24</f>
        <v>34000</v>
      </c>
      <c r="K32" s="39"/>
      <c r="L32" s="39"/>
      <c r="M32" s="27">
        <f>M24</f>
        <v>10608</v>
      </c>
      <c r="N32" s="27"/>
    </row>
    <row r="33" spans="3:16" ht="18.75" x14ac:dyDescent="0.25">
      <c r="C33" s="34" t="s">
        <v>12</v>
      </c>
      <c r="D33" s="34"/>
      <c r="E33" s="34"/>
      <c r="F33" s="34"/>
      <c r="G33" s="34"/>
      <c r="H33" s="34"/>
      <c r="I33" s="34"/>
      <c r="J33" s="39">
        <f>J29</f>
        <v>0</v>
      </c>
      <c r="K33" s="39"/>
      <c r="L33" s="39"/>
      <c r="M33" s="27">
        <f>M29</f>
        <v>0</v>
      </c>
      <c r="N33" s="27"/>
    </row>
    <row r="34" spans="3:16" ht="18.75" x14ac:dyDescent="0.25">
      <c r="C34" s="38" t="s">
        <v>34</v>
      </c>
      <c r="D34" s="38"/>
      <c r="E34" s="38"/>
      <c r="F34" s="38"/>
      <c r="G34" s="38"/>
      <c r="H34" s="38"/>
      <c r="I34" s="38"/>
      <c r="J34" s="39">
        <f>SUM(J32:L33)</f>
        <v>34000</v>
      </c>
      <c r="K34" s="39"/>
      <c r="L34" s="39"/>
      <c r="M34" s="27">
        <f>SUM(M32:N33)</f>
        <v>10608</v>
      </c>
      <c r="N34" s="27"/>
    </row>
    <row r="36" spans="3:16" ht="18.75" x14ac:dyDescent="0.25">
      <c r="C36" s="41" t="s">
        <v>82</v>
      </c>
      <c r="D36" s="41"/>
      <c r="E36" s="41"/>
    </row>
    <row r="38" spans="3:16" ht="18.75" x14ac:dyDescent="0.25">
      <c r="C38" s="36" t="s">
        <v>75</v>
      </c>
      <c r="D38" s="36"/>
      <c r="J38" s="37" t="s">
        <v>76</v>
      </c>
      <c r="K38" s="37"/>
      <c r="L38" s="37"/>
      <c r="M38" s="37" t="s">
        <v>77</v>
      </c>
      <c r="N38" s="37"/>
      <c r="O38" s="37"/>
      <c r="P38" s="19"/>
    </row>
    <row r="39" spans="3:16" ht="18.75" x14ac:dyDescent="0.25">
      <c r="C39" s="34" t="s">
        <v>8</v>
      </c>
      <c r="D39" s="34"/>
      <c r="E39" s="34"/>
      <c r="F39" s="34"/>
      <c r="G39" s="34"/>
      <c r="H39" s="34"/>
      <c r="I39" s="34"/>
      <c r="J39" s="35">
        <v>0.5</v>
      </c>
      <c r="K39" s="35"/>
      <c r="L39" s="35"/>
      <c r="M39" s="28">
        <f>J39*J17</f>
        <v>9500</v>
      </c>
      <c r="N39" s="28"/>
      <c r="O39" s="28"/>
      <c r="P39" s="19"/>
    </row>
    <row r="40" spans="3:16" ht="18.75" x14ac:dyDescent="0.25">
      <c r="C40" s="34" t="s">
        <v>9</v>
      </c>
      <c r="D40" s="34"/>
      <c r="E40" s="34"/>
      <c r="F40" s="34"/>
      <c r="G40" s="34"/>
      <c r="H40" s="34"/>
      <c r="I40" s="34"/>
      <c r="J40" s="35">
        <v>0.05</v>
      </c>
      <c r="K40" s="35"/>
      <c r="L40" s="35"/>
      <c r="M40" s="28">
        <f>J40*J18</f>
        <v>75</v>
      </c>
      <c r="N40" s="28"/>
      <c r="O40" s="28"/>
      <c r="P40" s="19"/>
    </row>
    <row r="41" spans="3:16" ht="18.75" x14ac:dyDescent="0.25">
      <c r="C41" s="34"/>
      <c r="D41" s="34"/>
      <c r="E41" s="34"/>
      <c r="F41" s="34"/>
      <c r="G41" s="34"/>
      <c r="H41" s="34"/>
      <c r="I41" s="34"/>
      <c r="J41" s="35"/>
      <c r="K41" s="35"/>
      <c r="L41" s="35"/>
      <c r="M41" s="28"/>
      <c r="N41" s="28"/>
      <c r="O41" s="28"/>
      <c r="P41" s="19"/>
    </row>
    <row r="42" spans="3:16" ht="18.75" x14ac:dyDescent="0.25">
      <c r="C42" s="34" t="s">
        <v>10</v>
      </c>
      <c r="D42" s="34"/>
      <c r="E42" s="34"/>
      <c r="F42" s="34"/>
      <c r="G42" s="34"/>
      <c r="H42" s="34"/>
      <c r="I42" s="34"/>
      <c r="J42" s="35">
        <v>0.33329999999999999</v>
      </c>
      <c r="K42" s="35"/>
      <c r="L42" s="35"/>
      <c r="M42" s="28">
        <f>J42*J20</f>
        <v>1333.2</v>
      </c>
      <c r="N42" s="28"/>
      <c r="O42" s="28"/>
      <c r="P42" s="19"/>
    </row>
    <row r="43" spans="3:16" ht="18.75" x14ac:dyDescent="0.25">
      <c r="C43" s="34" t="s">
        <v>13</v>
      </c>
      <c r="D43" s="34"/>
      <c r="E43" s="34"/>
      <c r="F43" s="34"/>
      <c r="G43" s="34"/>
      <c r="H43" s="34"/>
      <c r="I43" s="34"/>
      <c r="J43" s="35"/>
      <c r="K43" s="35"/>
      <c r="L43" s="35"/>
      <c r="M43" s="28">
        <f>J23*J43</f>
        <v>0</v>
      </c>
      <c r="N43" s="28"/>
      <c r="O43" s="28"/>
      <c r="P43" s="19"/>
    </row>
    <row r="44" spans="3:16" ht="18.75" x14ac:dyDescent="0.25">
      <c r="C44" s="24" t="s">
        <v>34</v>
      </c>
      <c r="D44" s="25"/>
      <c r="E44" s="25"/>
      <c r="F44" s="25"/>
      <c r="G44" s="25"/>
      <c r="H44" s="25"/>
      <c r="I44" s="25"/>
      <c r="J44" s="25"/>
      <c r="K44" s="25"/>
      <c r="L44" s="26"/>
      <c r="M44" s="28">
        <f>SUM(M39:O43)</f>
        <v>10908.2</v>
      </c>
      <c r="N44" s="28"/>
      <c r="O44" s="28"/>
      <c r="P44" s="19"/>
    </row>
    <row r="48" spans="3:16" ht="18.75" x14ac:dyDescent="0.25">
      <c r="C48" s="36" t="s">
        <v>27</v>
      </c>
      <c r="D48" s="36"/>
    </row>
    <row r="51" spans="2:14" ht="18.75" x14ac:dyDescent="0.25">
      <c r="C51" s="5"/>
      <c r="D51" s="46"/>
      <c r="E51" s="46"/>
      <c r="F51" s="46"/>
      <c r="G51" s="46"/>
      <c r="H51" s="1"/>
      <c r="I51" s="1"/>
      <c r="J51" s="1"/>
      <c r="K51" s="1"/>
      <c r="L51" s="1"/>
      <c r="M51" s="1"/>
      <c r="N51" s="1"/>
    </row>
    <row r="52" spans="2:14" ht="18.75" x14ac:dyDescent="0.25">
      <c r="C52" s="34" t="s">
        <v>28</v>
      </c>
      <c r="D52" s="34"/>
      <c r="E52" s="34"/>
      <c r="F52" s="34"/>
      <c r="G52" s="34"/>
      <c r="H52" s="34"/>
      <c r="I52" s="34"/>
      <c r="J52" s="51"/>
      <c r="K52" s="51"/>
      <c r="L52" s="51" t="s">
        <v>93</v>
      </c>
      <c r="M52" s="51"/>
      <c r="N52" s="1"/>
    </row>
    <row r="53" spans="2:14" ht="18.75" x14ac:dyDescent="0.25">
      <c r="C53" s="34" t="s">
        <v>30</v>
      </c>
      <c r="D53" s="34"/>
      <c r="E53" s="34"/>
      <c r="F53" s="34"/>
      <c r="G53" s="42" t="s">
        <v>31</v>
      </c>
      <c r="H53" s="42"/>
      <c r="I53" s="6" t="s">
        <v>32</v>
      </c>
      <c r="J53" s="16" t="s">
        <v>33</v>
      </c>
      <c r="K53" s="42" t="s">
        <v>35</v>
      </c>
      <c r="L53" s="42"/>
    </row>
    <row r="54" spans="2:14" x14ac:dyDescent="0.2">
      <c r="C54" s="50"/>
      <c r="D54" s="50"/>
      <c r="E54" s="50"/>
      <c r="F54" s="50"/>
      <c r="G54" s="51"/>
      <c r="H54" s="51"/>
      <c r="I54" s="13"/>
      <c r="J54" s="13"/>
      <c r="K54" s="49"/>
      <c r="L54" s="49"/>
    </row>
    <row r="55" spans="2:14" x14ac:dyDescent="0.2">
      <c r="C55" s="50"/>
      <c r="D55" s="50"/>
      <c r="E55" s="50"/>
      <c r="F55" s="50"/>
      <c r="G55" s="51"/>
      <c r="H55" s="51"/>
      <c r="I55" s="13"/>
      <c r="J55" s="13"/>
      <c r="K55" s="49"/>
      <c r="L55" s="49"/>
    </row>
    <row r="56" spans="2:14" x14ac:dyDescent="0.2">
      <c r="C56" s="50"/>
      <c r="D56" s="50"/>
      <c r="E56" s="50"/>
      <c r="F56" s="50"/>
      <c r="G56" s="51"/>
      <c r="H56" s="51"/>
      <c r="I56" s="13"/>
      <c r="J56" s="13"/>
      <c r="K56" s="49"/>
      <c r="L56" s="49"/>
    </row>
    <row r="57" spans="2:14" x14ac:dyDescent="0.2">
      <c r="C57" s="50"/>
      <c r="D57" s="50"/>
      <c r="E57" s="50"/>
      <c r="F57" s="50"/>
      <c r="G57" s="51"/>
      <c r="H57" s="51"/>
      <c r="I57" s="13"/>
      <c r="J57" s="13"/>
      <c r="K57" s="49"/>
      <c r="L57" s="49"/>
    </row>
    <row r="58" spans="2:14" x14ac:dyDescent="0.2">
      <c r="B58">
        <v>5</v>
      </c>
      <c r="C58" s="50"/>
      <c r="D58" s="50"/>
      <c r="E58" s="50"/>
      <c r="F58" s="50"/>
      <c r="G58" s="51"/>
      <c r="H58" s="51"/>
      <c r="I58" s="13"/>
      <c r="J58" s="13"/>
      <c r="K58" s="49">
        <f t="shared" ref="K55:K58" si="1">J58*G58</f>
        <v>0</v>
      </c>
      <c r="L58" s="49"/>
    </row>
    <row r="59" spans="2:14" x14ac:dyDescent="0.2">
      <c r="J59" t="s">
        <v>34</v>
      </c>
      <c r="K59" s="49">
        <f>SUM(K54:L58)</f>
        <v>0</v>
      </c>
      <c r="L59" s="49"/>
    </row>
    <row r="61" spans="2:14" ht="18.75" x14ac:dyDescent="0.25">
      <c r="C61" s="5" t="s">
        <v>37</v>
      </c>
      <c r="D61" s="46"/>
      <c r="E61" s="46"/>
      <c r="F61" s="46"/>
      <c r="G61" s="46"/>
      <c r="H61" s="1"/>
      <c r="I61" s="1"/>
      <c r="J61" s="1"/>
      <c r="K61" s="1"/>
      <c r="L61" s="1"/>
      <c r="M61" s="1"/>
      <c r="N61" s="1"/>
    </row>
    <row r="62" spans="2:14" ht="18.75" x14ac:dyDescent="0.25">
      <c r="C62" s="34" t="s">
        <v>28</v>
      </c>
      <c r="D62" s="34"/>
      <c r="E62" s="34"/>
      <c r="F62" s="34"/>
      <c r="G62" s="34"/>
      <c r="H62" s="34"/>
      <c r="I62" s="34"/>
      <c r="J62" s="51"/>
      <c r="K62" s="51"/>
      <c r="L62" s="52" t="s">
        <v>29</v>
      </c>
      <c r="M62" s="53"/>
      <c r="N62" s="1"/>
    </row>
    <row r="63" spans="2:14" ht="18.75" x14ac:dyDescent="0.25">
      <c r="C63" s="34" t="s">
        <v>30</v>
      </c>
      <c r="D63" s="34"/>
      <c r="E63" s="34"/>
      <c r="F63" s="34"/>
      <c r="G63" s="42" t="s">
        <v>31</v>
      </c>
      <c r="H63" s="42"/>
      <c r="I63" s="6" t="s">
        <v>32</v>
      </c>
      <c r="J63" s="16" t="s">
        <v>33</v>
      </c>
      <c r="K63" s="42" t="s">
        <v>35</v>
      </c>
      <c r="L63" s="42"/>
    </row>
    <row r="64" spans="2:14" x14ac:dyDescent="0.2">
      <c r="B64">
        <v>1</v>
      </c>
      <c r="C64" s="50"/>
      <c r="D64" s="50"/>
      <c r="E64" s="50"/>
      <c r="F64" s="50"/>
      <c r="G64" s="51"/>
      <c r="H64" s="51"/>
      <c r="I64" s="13"/>
      <c r="J64" s="13"/>
      <c r="K64" s="49">
        <f>J64*G64</f>
        <v>0</v>
      </c>
      <c r="L64" s="49"/>
    </row>
    <row r="65" spans="2:20" x14ac:dyDescent="0.2">
      <c r="B65">
        <v>2</v>
      </c>
      <c r="C65" s="50"/>
      <c r="D65" s="50"/>
      <c r="E65" s="50"/>
      <c r="F65" s="50"/>
      <c r="G65" s="51"/>
      <c r="H65" s="51"/>
      <c r="I65" s="13"/>
      <c r="J65" s="13"/>
      <c r="K65" s="49">
        <f t="shared" ref="K65:K68" si="2">J65*G65</f>
        <v>0</v>
      </c>
      <c r="L65" s="49"/>
    </row>
    <row r="66" spans="2:20" x14ac:dyDescent="0.2">
      <c r="B66">
        <v>3</v>
      </c>
      <c r="C66" s="50"/>
      <c r="D66" s="50"/>
      <c r="E66" s="50"/>
      <c r="F66" s="50"/>
      <c r="G66" s="51"/>
      <c r="H66" s="51"/>
      <c r="I66" s="13"/>
      <c r="J66" s="13"/>
      <c r="K66" s="49">
        <f t="shared" si="2"/>
        <v>0</v>
      </c>
      <c r="L66" s="49"/>
    </row>
    <row r="67" spans="2:20" x14ac:dyDescent="0.2">
      <c r="B67">
        <v>4</v>
      </c>
      <c r="C67" s="50"/>
      <c r="D67" s="50"/>
      <c r="E67" s="50"/>
      <c r="F67" s="50"/>
      <c r="G67" s="51"/>
      <c r="H67" s="51"/>
      <c r="I67" s="13"/>
      <c r="J67" s="13"/>
      <c r="K67" s="49">
        <f t="shared" si="2"/>
        <v>0</v>
      </c>
      <c r="L67" s="49"/>
    </row>
    <row r="68" spans="2:20" x14ac:dyDescent="0.2">
      <c r="B68">
        <v>5</v>
      </c>
      <c r="C68" s="50"/>
      <c r="D68" s="50"/>
      <c r="E68" s="50"/>
      <c r="F68" s="50"/>
      <c r="G68" s="51"/>
      <c r="H68" s="51"/>
      <c r="I68" s="13"/>
      <c r="J68" s="13"/>
      <c r="K68" s="49">
        <f t="shared" si="2"/>
        <v>0</v>
      </c>
      <c r="L68" s="49"/>
    </row>
    <row r="69" spans="2:20" x14ac:dyDescent="0.2">
      <c r="J69" t="s">
        <v>34</v>
      </c>
      <c r="K69" s="49">
        <f>SUM(K64:L68)</f>
        <v>0</v>
      </c>
      <c r="L69" s="49"/>
    </row>
    <row r="71" spans="2:20" x14ac:dyDescent="0.2">
      <c r="S71" s="28"/>
      <c r="T71" s="28"/>
    </row>
    <row r="72" spans="2:20" ht="18.75" x14ac:dyDescent="0.25">
      <c r="C72" s="40" t="s">
        <v>44</v>
      </c>
      <c r="D72" s="40"/>
    </row>
    <row r="74" spans="2:20" ht="18.75" x14ac:dyDescent="0.25">
      <c r="C74" s="1" t="s">
        <v>51</v>
      </c>
      <c r="D74" s="1"/>
      <c r="E74" s="1"/>
      <c r="F74" s="1"/>
      <c r="G74" s="1"/>
    </row>
    <row r="75" spans="2:20" ht="18.75" x14ac:dyDescent="0.25">
      <c r="B75" s="3"/>
      <c r="C75" s="8" t="s">
        <v>45</v>
      </c>
      <c r="D75" s="8" t="s">
        <v>46</v>
      </c>
      <c r="E75" s="58" t="s">
        <v>72</v>
      </c>
      <c r="F75" s="58"/>
      <c r="G75" s="44" t="s">
        <v>73</v>
      </c>
      <c r="H75" s="44"/>
      <c r="I75" s="42" t="s">
        <v>47</v>
      </c>
      <c r="J75" s="42"/>
    </row>
    <row r="76" spans="2:20" ht="18.75" x14ac:dyDescent="0.25">
      <c r="B76" s="3"/>
      <c r="C76" s="13"/>
      <c r="D76" s="13"/>
      <c r="E76" s="43"/>
      <c r="F76" s="43"/>
      <c r="G76" s="45"/>
      <c r="H76" s="45"/>
      <c r="I76" s="57"/>
      <c r="J76" s="57"/>
    </row>
    <row r="77" spans="2:20" ht="18.75" x14ac:dyDescent="0.25">
      <c r="B77" s="3">
        <v>2</v>
      </c>
      <c r="C77" s="13" t="s">
        <v>94</v>
      </c>
      <c r="D77" s="13">
        <v>1</v>
      </c>
      <c r="E77" s="43">
        <v>2200</v>
      </c>
      <c r="F77" s="43"/>
      <c r="G77" s="45">
        <v>12</v>
      </c>
      <c r="H77" s="45"/>
      <c r="I77" s="57">
        <f t="shared" ref="I77:I81" si="3">G77*E77*D77</f>
        <v>26400</v>
      </c>
      <c r="J77" s="57"/>
    </row>
    <row r="78" spans="2:20" ht="18.75" x14ac:dyDescent="0.25">
      <c r="B78" s="3"/>
      <c r="C78" s="13"/>
      <c r="D78" s="13"/>
      <c r="E78" s="43"/>
      <c r="F78" s="43"/>
      <c r="G78" s="45"/>
      <c r="H78" s="45"/>
      <c r="I78" s="57"/>
      <c r="J78" s="57"/>
    </row>
    <row r="79" spans="2:20" ht="18.75" x14ac:dyDescent="0.25">
      <c r="B79" s="3">
        <v>4</v>
      </c>
      <c r="C79" s="13" t="s">
        <v>102</v>
      </c>
      <c r="D79" s="13">
        <v>1</v>
      </c>
      <c r="E79" s="43">
        <v>3200</v>
      </c>
      <c r="F79" s="43"/>
      <c r="G79" s="45">
        <v>12</v>
      </c>
      <c r="H79" s="45"/>
      <c r="I79" s="57">
        <f t="shared" si="3"/>
        <v>38400</v>
      </c>
      <c r="J79" s="57"/>
    </row>
    <row r="80" spans="2:20" ht="18.75" x14ac:dyDescent="0.25">
      <c r="B80" s="3">
        <v>5</v>
      </c>
      <c r="C80" s="13"/>
      <c r="D80" s="13"/>
      <c r="E80" s="43">
        <v>0</v>
      </c>
      <c r="F80" s="43"/>
      <c r="G80" s="45"/>
      <c r="H80" s="45"/>
      <c r="I80" s="57">
        <f t="shared" si="3"/>
        <v>0</v>
      </c>
      <c r="J80" s="57"/>
    </row>
    <row r="81" spans="2:10" ht="18.75" x14ac:dyDescent="0.25">
      <c r="B81" s="3"/>
      <c r="C81" s="13"/>
      <c r="D81" s="13"/>
      <c r="E81" s="43">
        <v>0</v>
      </c>
      <c r="F81" s="43"/>
      <c r="G81" s="45"/>
      <c r="H81" s="45"/>
      <c r="I81" s="57">
        <f t="shared" si="3"/>
        <v>0</v>
      </c>
      <c r="J81" s="57"/>
    </row>
    <row r="82" spans="2:10" ht="18.75" x14ac:dyDescent="0.25">
      <c r="G82" s="57" t="s">
        <v>34</v>
      </c>
      <c r="H82" s="57"/>
      <c r="I82" s="57">
        <f>SUM(I76:J81)</f>
        <v>64800</v>
      </c>
      <c r="J82" s="57"/>
    </row>
    <row r="85" spans="2:10" ht="18.75" x14ac:dyDescent="0.25">
      <c r="C85" s="1" t="s">
        <v>63</v>
      </c>
      <c r="D85" s="1"/>
      <c r="E85" s="1"/>
      <c r="F85" s="1"/>
      <c r="G85" s="1"/>
    </row>
    <row r="86" spans="2:10" ht="18.75" x14ac:dyDescent="0.25">
      <c r="B86" s="3"/>
      <c r="C86" s="8" t="s">
        <v>45</v>
      </c>
      <c r="D86" s="8" t="s">
        <v>46</v>
      </c>
      <c r="E86" s="58" t="s">
        <v>72</v>
      </c>
      <c r="F86" s="58"/>
      <c r="G86" s="44" t="s">
        <v>73</v>
      </c>
      <c r="H86" s="44"/>
      <c r="I86" s="42" t="s">
        <v>47</v>
      </c>
      <c r="J86" s="42"/>
    </row>
    <row r="87" spans="2:10" ht="18.75" x14ac:dyDescent="0.25">
      <c r="B87" s="3">
        <v>1</v>
      </c>
      <c r="C87" s="13" t="s">
        <v>101</v>
      </c>
      <c r="D87" s="13">
        <v>2</v>
      </c>
      <c r="E87" s="43">
        <v>2400</v>
      </c>
      <c r="F87" s="43"/>
      <c r="G87" s="45">
        <v>12</v>
      </c>
      <c r="H87" s="45"/>
      <c r="I87" s="57">
        <f>G87*E87*D87</f>
        <v>57600</v>
      </c>
      <c r="J87" s="57"/>
    </row>
    <row r="88" spans="2:10" ht="18.75" x14ac:dyDescent="0.25">
      <c r="B88" s="3"/>
      <c r="C88" s="13"/>
      <c r="D88" s="13"/>
      <c r="E88" s="43"/>
      <c r="F88" s="43"/>
      <c r="G88" s="45"/>
      <c r="H88" s="45"/>
      <c r="I88" s="57"/>
      <c r="J88" s="57"/>
    </row>
    <row r="89" spans="2:10" ht="18.75" x14ac:dyDescent="0.25">
      <c r="B89" s="3">
        <v>3</v>
      </c>
      <c r="C89" s="13"/>
      <c r="D89" s="13"/>
      <c r="E89" s="43">
        <v>0</v>
      </c>
      <c r="F89" s="43"/>
      <c r="G89" s="45"/>
      <c r="H89" s="45"/>
      <c r="I89" s="57">
        <f t="shared" ref="I88:I92" si="4">G89*E89*D89</f>
        <v>0</v>
      </c>
      <c r="J89" s="57"/>
    </row>
    <row r="90" spans="2:10" ht="18.75" x14ac:dyDescent="0.25">
      <c r="B90" s="3">
        <v>4</v>
      </c>
      <c r="C90" s="13"/>
      <c r="D90" s="13"/>
      <c r="E90" s="43">
        <v>0</v>
      </c>
      <c r="F90" s="43"/>
      <c r="G90" s="45"/>
      <c r="H90" s="45"/>
      <c r="I90" s="57">
        <f t="shared" si="4"/>
        <v>0</v>
      </c>
      <c r="J90" s="57"/>
    </row>
    <row r="91" spans="2:10" ht="18.75" x14ac:dyDescent="0.25">
      <c r="B91" s="3">
        <v>5</v>
      </c>
      <c r="C91" s="13"/>
      <c r="D91" s="13"/>
      <c r="E91" s="43">
        <v>0</v>
      </c>
      <c r="F91" s="43"/>
      <c r="G91" s="45"/>
      <c r="H91" s="45"/>
      <c r="I91" s="57">
        <f t="shared" si="4"/>
        <v>0</v>
      </c>
      <c r="J91" s="57"/>
    </row>
    <row r="92" spans="2:10" ht="18.75" x14ac:dyDescent="0.25">
      <c r="B92" s="3"/>
      <c r="C92" s="13"/>
      <c r="D92" s="13"/>
      <c r="E92" s="43">
        <v>0</v>
      </c>
      <c r="F92" s="43"/>
      <c r="G92" s="45"/>
      <c r="H92" s="45"/>
      <c r="I92" s="57">
        <f t="shared" si="4"/>
        <v>0</v>
      </c>
      <c r="J92" s="57"/>
    </row>
    <row r="93" spans="2:10" ht="18.75" x14ac:dyDescent="0.25">
      <c r="G93" s="57" t="s">
        <v>34</v>
      </c>
      <c r="H93" s="57"/>
      <c r="I93" s="57">
        <f>SUM(I87:J92)</f>
        <v>57600</v>
      </c>
      <c r="J93" s="57"/>
    </row>
    <row r="97" spans="2:10" ht="18.75" x14ac:dyDescent="0.25">
      <c r="C97" s="1" t="s">
        <v>50</v>
      </c>
      <c r="D97" s="1"/>
      <c r="E97" s="1"/>
      <c r="F97" s="1"/>
      <c r="G97" s="1"/>
    </row>
    <row r="98" spans="2:10" ht="18.75" x14ac:dyDescent="0.25">
      <c r="B98" s="3"/>
      <c r="C98" s="8" t="s">
        <v>45</v>
      </c>
      <c r="D98" s="8" t="s">
        <v>46</v>
      </c>
      <c r="E98" s="58" t="s">
        <v>72</v>
      </c>
      <c r="F98" s="58"/>
      <c r="G98" s="44" t="s">
        <v>73</v>
      </c>
      <c r="H98" s="44"/>
      <c r="I98" s="42" t="s">
        <v>47</v>
      </c>
      <c r="J98" s="42"/>
    </row>
    <row r="99" spans="2:10" ht="18.75" x14ac:dyDescent="0.25">
      <c r="B99" s="3">
        <v>1</v>
      </c>
      <c r="C99" s="13" t="s">
        <v>100</v>
      </c>
      <c r="D99" s="13">
        <v>2</v>
      </c>
      <c r="E99" s="43">
        <v>3200</v>
      </c>
      <c r="F99" s="43"/>
      <c r="G99" s="45">
        <v>12</v>
      </c>
      <c r="H99" s="45"/>
      <c r="I99" s="57">
        <f>G99*E99*D99</f>
        <v>76800</v>
      </c>
      <c r="J99" s="57"/>
    </row>
    <row r="100" spans="2:10" ht="18.75" x14ac:dyDescent="0.25">
      <c r="B100" s="3">
        <v>2</v>
      </c>
      <c r="C100" s="13"/>
      <c r="D100" s="13"/>
      <c r="E100" s="43"/>
      <c r="F100" s="43"/>
      <c r="G100" s="45"/>
      <c r="H100" s="45"/>
      <c r="I100" s="57">
        <f t="shared" ref="I100:I104" si="5">G100*E100*D100</f>
        <v>0</v>
      </c>
      <c r="J100" s="57"/>
    </row>
    <row r="101" spans="2:10" ht="18.75" x14ac:dyDescent="0.25">
      <c r="B101" s="3">
        <v>3</v>
      </c>
      <c r="C101" s="13"/>
      <c r="D101" s="13"/>
      <c r="E101" s="43">
        <v>0</v>
      </c>
      <c r="F101" s="43"/>
      <c r="G101" s="45"/>
      <c r="H101" s="45"/>
      <c r="I101" s="57">
        <f t="shared" si="5"/>
        <v>0</v>
      </c>
      <c r="J101" s="57"/>
    </row>
    <row r="102" spans="2:10" ht="18.75" x14ac:dyDescent="0.25">
      <c r="B102" s="3">
        <v>4</v>
      </c>
      <c r="C102" s="13"/>
      <c r="D102" s="13"/>
      <c r="E102" s="43">
        <v>0</v>
      </c>
      <c r="F102" s="43"/>
      <c r="G102" s="45"/>
      <c r="H102" s="45"/>
      <c r="I102" s="57">
        <f t="shared" si="5"/>
        <v>0</v>
      </c>
      <c r="J102" s="57"/>
    </row>
    <row r="103" spans="2:10" ht="18.75" x14ac:dyDescent="0.25">
      <c r="B103" s="3">
        <v>5</v>
      </c>
      <c r="C103" s="13"/>
      <c r="D103" s="13"/>
      <c r="E103" s="43">
        <v>0</v>
      </c>
      <c r="F103" s="43"/>
      <c r="G103" s="45"/>
      <c r="H103" s="45"/>
      <c r="I103" s="57">
        <f t="shared" si="5"/>
        <v>0</v>
      </c>
      <c r="J103" s="57"/>
    </row>
    <row r="104" spans="2:10" ht="18.75" x14ac:dyDescent="0.25">
      <c r="B104" s="3"/>
      <c r="C104" s="13"/>
      <c r="D104" s="13"/>
      <c r="E104" s="43">
        <v>0</v>
      </c>
      <c r="F104" s="43"/>
      <c r="G104" s="45"/>
      <c r="H104" s="45"/>
      <c r="I104" s="57">
        <f t="shared" si="5"/>
        <v>0</v>
      </c>
      <c r="J104" s="57"/>
    </row>
    <row r="105" spans="2:10" ht="18.75" x14ac:dyDescent="0.25">
      <c r="G105" s="57" t="s">
        <v>34</v>
      </c>
      <c r="H105" s="57"/>
      <c r="I105" s="57">
        <f>SUM(I99:J104)</f>
        <v>76800</v>
      </c>
      <c r="J105" s="57"/>
    </row>
    <row r="110" spans="2:10" ht="18.75" x14ac:dyDescent="0.25">
      <c r="C110" s="1" t="s">
        <v>52</v>
      </c>
    </row>
    <row r="111" spans="2:10" ht="18.75" x14ac:dyDescent="0.25">
      <c r="C111" s="42" t="s">
        <v>53</v>
      </c>
      <c r="D111" s="42"/>
      <c r="E111" s="42">
        <v>2022</v>
      </c>
      <c r="F111" s="42"/>
      <c r="G111" s="42">
        <v>2023</v>
      </c>
      <c r="H111" s="42"/>
      <c r="I111" s="42">
        <v>2024</v>
      </c>
      <c r="J111" s="42"/>
    </row>
    <row r="112" spans="2:10" ht="18.75" x14ac:dyDescent="0.25">
      <c r="C112" s="42" t="s">
        <v>61</v>
      </c>
      <c r="D112" s="42"/>
      <c r="E112" s="43">
        <f>I82</f>
        <v>64800</v>
      </c>
      <c r="F112" s="43"/>
      <c r="G112" s="43">
        <f>E112*(1+J11)</f>
        <v>68040</v>
      </c>
      <c r="H112" s="43"/>
      <c r="I112" s="43">
        <f>G112*(1+J11)</f>
        <v>71442</v>
      </c>
      <c r="J112" s="43"/>
    </row>
    <row r="113" spans="3:10" ht="18.75" x14ac:dyDescent="0.25">
      <c r="C113" s="42" t="s">
        <v>54</v>
      </c>
      <c r="D113" s="42"/>
      <c r="E113" s="43">
        <f>E112*0.08</f>
        <v>5184</v>
      </c>
      <c r="F113" s="43"/>
      <c r="G113" s="43">
        <f t="shared" ref="G113" si="6">G112*0.08</f>
        <v>5443.2</v>
      </c>
      <c r="H113" s="43"/>
      <c r="I113" s="43">
        <f>I112*0.08</f>
        <v>5715.36</v>
      </c>
      <c r="J113" s="43"/>
    </row>
    <row r="114" spans="3:10" ht="18.75" x14ac:dyDescent="0.25">
      <c r="C114" s="42" t="s">
        <v>55</v>
      </c>
      <c r="D114" s="42"/>
      <c r="E114" s="43">
        <v>20000</v>
      </c>
      <c r="F114" s="43"/>
      <c r="G114" s="43">
        <v>20000</v>
      </c>
      <c r="H114" s="43"/>
      <c r="I114" s="43">
        <v>20000</v>
      </c>
      <c r="J114" s="43"/>
    </row>
    <row r="115" spans="3:10" ht="18.75" x14ac:dyDescent="0.25">
      <c r="C115" s="42" t="s">
        <v>56</v>
      </c>
      <c r="D115" s="42"/>
      <c r="E115" s="43">
        <v>1000</v>
      </c>
      <c r="F115" s="43"/>
      <c r="G115" s="43">
        <v>1000</v>
      </c>
      <c r="H115" s="43"/>
      <c r="I115" s="43">
        <v>1000</v>
      </c>
      <c r="J115" s="43"/>
    </row>
    <row r="116" spans="3:10" ht="18.75" x14ac:dyDescent="0.25">
      <c r="C116" s="42" t="s">
        <v>57</v>
      </c>
      <c r="D116" s="42"/>
      <c r="E116" s="43">
        <v>2000</v>
      </c>
      <c r="F116" s="43"/>
      <c r="G116" s="43">
        <v>2000</v>
      </c>
      <c r="H116" s="43"/>
      <c r="I116" s="43">
        <v>2000</v>
      </c>
      <c r="J116" s="43"/>
    </row>
    <row r="117" spans="3:10" ht="18.75" x14ac:dyDescent="0.25">
      <c r="C117" s="42" t="s">
        <v>58</v>
      </c>
      <c r="D117" s="42"/>
      <c r="E117" s="43">
        <v>600</v>
      </c>
      <c r="F117" s="43"/>
      <c r="G117" s="43">
        <v>1000</v>
      </c>
      <c r="H117" s="43"/>
      <c r="I117" s="43">
        <v>1000</v>
      </c>
      <c r="J117" s="43"/>
    </row>
    <row r="118" spans="3:10" ht="18.75" x14ac:dyDescent="0.25">
      <c r="C118" s="42" t="s">
        <v>11</v>
      </c>
      <c r="D118" s="42"/>
      <c r="E118" s="43">
        <v>500</v>
      </c>
      <c r="F118" s="43"/>
      <c r="G118" s="43">
        <v>500</v>
      </c>
      <c r="H118" s="43"/>
      <c r="I118" s="43">
        <v>500</v>
      </c>
      <c r="J118" s="43"/>
    </row>
    <row r="119" spans="3:10" ht="18.75" x14ac:dyDescent="0.25">
      <c r="C119" s="42" t="s">
        <v>59</v>
      </c>
      <c r="D119" s="42"/>
      <c r="E119" s="43">
        <v>1000</v>
      </c>
      <c r="F119" s="43"/>
      <c r="G119" s="43">
        <v>1200</v>
      </c>
      <c r="H119" s="43"/>
      <c r="I119" s="43">
        <v>1400</v>
      </c>
      <c r="J119" s="43"/>
    </row>
    <row r="120" spans="3:10" ht="18.75" x14ac:dyDescent="0.25">
      <c r="C120" s="42" t="s">
        <v>60</v>
      </c>
      <c r="D120" s="42"/>
      <c r="E120" s="43">
        <v>0</v>
      </c>
      <c r="F120" s="43"/>
      <c r="G120" s="43">
        <v>0</v>
      </c>
      <c r="H120" s="43"/>
      <c r="I120" s="43">
        <v>0</v>
      </c>
      <c r="J120" s="43"/>
    </row>
    <row r="121" spans="3:10" ht="18.75" x14ac:dyDescent="0.25">
      <c r="C121" s="42" t="s">
        <v>34</v>
      </c>
      <c r="D121" s="42"/>
      <c r="E121" s="47">
        <f>SUM(E112:F120)</f>
        <v>95084</v>
      </c>
      <c r="F121" s="47"/>
      <c r="G121" s="47">
        <f>SUM(G112:H120)</f>
        <v>99183.2</v>
      </c>
      <c r="H121" s="47"/>
      <c r="I121" s="47">
        <f t="shared" ref="I121" si="7">SUM(I112:J120)</f>
        <v>103057.36</v>
      </c>
      <c r="J121" s="47"/>
    </row>
    <row r="125" spans="3:10" ht="18.75" x14ac:dyDescent="0.25">
      <c r="C125" s="1" t="s">
        <v>62</v>
      </c>
    </row>
    <row r="126" spans="3:10" ht="18.75" x14ac:dyDescent="0.25">
      <c r="C126" s="42" t="s">
        <v>53</v>
      </c>
      <c r="D126" s="42"/>
      <c r="E126" s="42">
        <v>2022</v>
      </c>
      <c r="F126" s="42"/>
      <c r="G126" s="42">
        <v>2023</v>
      </c>
      <c r="H126" s="42"/>
      <c r="I126" s="42">
        <v>2024</v>
      </c>
      <c r="J126" s="42"/>
    </row>
    <row r="127" spans="3:10" ht="18.75" x14ac:dyDescent="0.25">
      <c r="C127" s="48" t="s">
        <v>65</v>
      </c>
      <c r="D127" s="48"/>
      <c r="E127" s="43">
        <f>I93</f>
        <v>57600</v>
      </c>
      <c r="F127" s="43"/>
      <c r="G127" s="43">
        <f>E127*(1+J11)</f>
        <v>60480</v>
      </c>
      <c r="H127" s="43"/>
      <c r="I127" s="43">
        <f>G127*(1+J11)</f>
        <v>63504</v>
      </c>
      <c r="J127" s="43"/>
    </row>
    <row r="128" spans="3:10" ht="18.75" x14ac:dyDescent="0.25">
      <c r="C128" s="42" t="s">
        <v>54</v>
      </c>
      <c r="D128" s="42"/>
      <c r="E128" s="43">
        <f>E127*0.08</f>
        <v>4608</v>
      </c>
      <c r="F128" s="43"/>
      <c r="G128" s="43">
        <f t="shared" ref="G128" si="8">G127*0.08</f>
        <v>4838.4000000000005</v>
      </c>
      <c r="H128" s="43"/>
      <c r="I128" s="43">
        <f t="shared" ref="I128" si="9">I127*0.08</f>
        <v>5080.32</v>
      </c>
      <c r="J128" s="43"/>
    </row>
    <row r="129" spans="3:10" ht="18.75" x14ac:dyDescent="0.25">
      <c r="C129" s="42" t="s">
        <v>64</v>
      </c>
      <c r="D129" s="42"/>
      <c r="E129" s="43">
        <v>1000</v>
      </c>
      <c r="F129" s="43"/>
      <c r="G129" s="43">
        <v>1000</v>
      </c>
      <c r="H129" s="43"/>
      <c r="I129" s="43">
        <v>1000</v>
      </c>
      <c r="J129" s="43"/>
    </row>
    <row r="130" spans="3:10" ht="18.75" x14ac:dyDescent="0.25">
      <c r="C130" s="42" t="s">
        <v>66</v>
      </c>
      <c r="D130" s="42"/>
      <c r="E130" s="43">
        <v>0</v>
      </c>
      <c r="F130" s="43"/>
      <c r="G130" s="43">
        <v>0</v>
      </c>
      <c r="H130" s="43"/>
      <c r="I130" s="43">
        <v>0</v>
      </c>
      <c r="J130" s="43"/>
    </row>
    <row r="131" spans="3:10" ht="18.75" x14ac:dyDescent="0.25">
      <c r="C131" s="42" t="s">
        <v>60</v>
      </c>
      <c r="D131" s="42"/>
      <c r="E131" s="43">
        <v>0</v>
      </c>
      <c r="F131" s="43"/>
      <c r="G131" s="43">
        <v>0</v>
      </c>
      <c r="H131" s="43"/>
      <c r="I131" s="43">
        <v>0</v>
      </c>
      <c r="J131" s="43"/>
    </row>
    <row r="132" spans="3:10" ht="18.75" x14ac:dyDescent="0.25">
      <c r="C132" s="42" t="s">
        <v>34</v>
      </c>
      <c r="D132" s="42"/>
      <c r="E132" s="47">
        <f>SUM(E127:F131)</f>
        <v>63208</v>
      </c>
      <c r="F132" s="47"/>
      <c r="G132" s="47">
        <f>SUM(G127:H131)</f>
        <v>66318.399999999994</v>
      </c>
      <c r="H132" s="47"/>
      <c r="I132" s="47">
        <f t="shared" ref="I132" si="10">SUM(I127:J131)</f>
        <v>69584.320000000007</v>
      </c>
      <c r="J132" s="47"/>
    </row>
    <row r="136" spans="3:10" ht="18.75" x14ac:dyDescent="0.25">
      <c r="C136" s="1" t="s">
        <v>67</v>
      </c>
    </row>
    <row r="137" spans="3:10" ht="18.75" x14ac:dyDescent="0.25">
      <c r="C137" s="42" t="s">
        <v>53</v>
      </c>
      <c r="D137" s="42"/>
      <c r="E137" s="42">
        <v>2022</v>
      </c>
      <c r="F137" s="42"/>
      <c r="G137" s="42">
        <v>2023</v>
      </c>
      <c r="H137" s="42"/>
      <c r="I137" s="42">
        <v>2024</v>
      </c>
      <c r="J137" s="42"/>
    </row>
    <row r="138" spans="3:10" ht="18.75" x14ac:dyDescent="0.25">
      <c r="C138" s="42" t="s">
        <v>68</v>
      </c>
      <c r="D138" s="42"/>
      <c r="E138" s="43">
        <f>I105</f>
        <v>76800</v>
      </c>
      <c r="F138" s="43"/>
      <c r="G138" s="43">
        <f>E138*(1+J11)</f>
        <v>80640</v>
      </c>
      <c r="H138" s="43"/>
      <c r="I138" s="43">
        <f>G138*(1+J11)</f>
        <v>84672</v>
      </c>
      <c r="J138" s="43"/>
    </row>
    <row r="139" spans="3:10" ht="18.75" x14ac:dyDescent="0.25">
      <c r="C139" s="42" t="s">
        <v>54</v>
      </c>
      <c r="D139" s="42"/>
      <c r="E139" s="43">
        <f>E138*0.08</f>
        <v>6144</v>
      </c>
      <c r="F139" s="43"/>
      <c r="G139" s="43">
        <f t="shared" ref="G139" si="11">G138*0.08</f>
        <v>6451.2</v>
      </c>
      <c r="H139" s="43"/>
      <c r="I139" s="43">
        <f t="shared" ref="I139" si="12">I138*0.08</f>
        <v>6773.76</v>
      </c>
      <c r="J139" s="43"/>
    </row>
    <row r="140" spans="3:10" ht="18.75" x14ac:dyDescent="0.25">
      <c r="C140" s="42" t="s">
        <v>69</v>
      </c>
      <c r="D140" s="42"/>
      <c r="E140" s="43">
        <v>1500</v>
      </c>
      <c r="F140" s="43"/>
      <c r="G140" s="43">
        <v>2000</v>
      </c>
      <c r="H140" s="43"/>
      <c r="I140" s="43">
        <v>2500</v>
      </c>
      <c r="J140" s="43"/>
    </row>
    <row r="141" spans="3:10" ht="18.75" x14ac:dyDescent="0.25">
      <c r="C141" s="42" t="s">
        <v>70</v>
      </c>
      <c r="D141" s="42"/>
      <c r="E141" s="43">
        <v>500</v>
      </c>
      <c r="F141" s="43"/>
      <c r="G141" s="43">
        <v>500</v>
      </c>
      <c r="H141" s="43"/>
      <c r="I141" s="43">
        <v>500</v>
      </c>
      <c r="J141" s="43"/>
    </row>
    <row r="142" spans="3:10" ht="18.75" x14ac:dyDescent="0.25">
      <c r="C142" s="42" t="s">
        <v>104</v>
      </c>
      <c r="D142" s="42"/>
      <c r="E142" s="43">
        <v>3000</v>
      </c>
      <c r="F142" s="43"/>
      <c r="G142" s="43">
        <v>4000</v>
      </c>
      <c r="H142" s="43"/>
      <c r="I142" s="43">
        <v>5000</v>
      </c>
      <c r="J142" s="43"/>
    </row>
    <row r="143" spans="3:10" ht="18.75" x14ac:dyDescent="0.25">
      <c r="C143" s="42" t="s">
        <v>85</v>
      </c>
      <c r="D143" s="42"/>
      <c r="E143" s="43">
        <f>M44</f>
        <v>10908.2</v>
      </c>
      <c r="F143" s="43"/>
      <c r="G143" s="43">
        <f>E143</f>
        <v>10908.2</v>
      </c>
      <c r="H143" s="43"/>
      <c r="I143" s="43">
        <f>G143</f>
        <v>10908.2</v>
      </c>
      <c r="J143" s="43"/>
    </row>
    <row r="144" spans="3:10" ht="18.75" x14ac:dyDescent="0.25">
      <c r="C144" s="42" t="s">
        <v>60</v>
      </c>
      <c r="D144" s="42"/>
      <c r="E144" s="43">
        <v>0</v>
      </c>
      <c r="F144" s="43"/>
      <c r="G144" s="43">
        <v>0</v>
      </c>
      <c r="H144" s="43"/>
      <c r="I144" s="43">
        <v>0</v>
      </c>
      <c r="J144" s="43"/>
    </row>
    <row r="145" spans="3:17" ht="18.75" x14ac:dyDescent="0.25">
      <c r="C145" s="42" t="s">
        <v>34</v>
      </c>
      <c r="D145" s="42"/>
      <c r="E145" s="47">
        <f>SUM(E138:F144)</f>
        <v>98852.2</v>
      </c>
      <c r="F145" s="47"/>
      <c r="G145" s="47">
        <f t="shared" ref="G145" si="13">SUM(G138:H144)</f>
        <v>104499.4</v>
      </c>
      <c r="H145" s="47"/>
      <c r="I145" s="47">
        <f>SUM(I138:J144)</f>
        <v>110353.95999999999</v>
      </c>
      <c r="J145" s="47"/>
    </row>
    <row r="148" spans="3:17" ht="18.75" x14ac:dyDescent="0.25">
      <c r="C148" s="68" t="s">
        <v>36</v>
      </c>
      <c r="D148" s="68"/>
      <c r="E148" s="68"/>
    </row>
    <row r="149" spans="3:17" ht="18.75" x14ac:dyDescent="0.25">
      <c r="C149" s="7"/>
      <c r="D149" s="7"/>
      <c r="E149" s="7"/>
    </row>
    <row r="150" spans="3:17" ht="18.75" x14ac:dyDescent="0.25">
      <c r="F150" s="6" t="s">
        <v>42</v>
      </c>
      <c r="G150" s="52" t="s">
        <v>103</v>
      </c>
      <c r="H150" s="53"/>
      <c r="I150" s="3" t="s">
        <v>43</v>
      </c>
      <c r="J150" s="3"/>
      <c r="K150" s="14">
        <f>J10</f>
        <v>0.1</v>
      </c>
    </row>
    <row r="151" spans="3:17" ht="18.75" x14ac:dyDescent="0.25">
      <c r="F151" s="9"/>
      <c r="G151" s="4"/>
      <c r="H151" s="4"/>
      <c r="I151" s="10"/>
      <c r="J151" s="10"/>
      <c r="K151" s="11"/>
    </row>
    <row r="152" spans="3:17" ht="18.75" x14ac:dyDescent="0.25">
      <c r="C152" s="67" t="s">
        <v>49</v>
      </c>
      <c r="D152" s="67"/>
      <c r="E152" s="1"/>
      <c r="F152" s="1"/>
      <c r="G152" s="1"/>
    </row>
    <row r="153" spans="3:17" ht="18.75" x14ac:dyDescent="0.25">
      <c r="C153" s="6"/>
      <c r="D153" s="6">
        <v>2022</v>
      </c>
      <c r="E153" s="6">
        <v>2023</v>
      </c>
      <c r="F153" s="6">
        <v>2024</v>
      </c>
    </row>
    <row r="154" spans="3:17" ht="18.75" x14ac:dyDescent="0.25">
      <c r="C154" s="6" t="s">
        <v>38</v>
      </c>
      <c r="D154" s="15">
        <v>37</v>
      </c>
      <c r="E154" s="15">
        <f t="shared" ref="E154:F157" si="14">D154*(1+$K$150)</f>
        <v>40.700000000000003</v>
      </c>
      <c r="F154" s="15">
        <f t="shared" si="14"/>
        <v>44.77000000000001</v>
      </c>
    </row>
    <row r="155" spans="3:17" ht="18.75" x14ac:dyDescent="0.25">
      <c r="C155" s="6" t="s">
        <v>39</v>
      </c>
      <c r="D155" s="15">
        <v>0</v>
      </c>
      <c r="E155" s="17">
        <f t="shared" si="14"/>
        <v>0</v>
      </c>
      <c r="F155" s="15">
        <f t="shared" si="14"/>
        <v>0</v>
      </c>
      <c r="Q155">
        <f>0.3*1250</f>
        <v>375</v>
      </c>
    </row>
    <row r="156" spans="3:17" ht="18.75" x14ac:dyDescent="0.25">
      <c r="C156" s="6" t="s">
        <v>40</v>
      </c>
      <c r="D156" s="15">
        <v>0</v>
      </c>
      <c r="E156" s="17">
        <f t="shared" si="14"/>
        <v>0</v>
      </c>
      <c r="F156" s="15">
        <f t="shared" si="14"/>
        <v>0</v>
      </c>
    </row>
    <row r="157" spans="3:17" ht="18.75" x14ac:dyDescent="0.25">
      <c r="C157" s="6" t="s">
        <v>41</v>
      </c>
      <c r="D157" s="15">
        <v>0</v>
      </c>
      <c r="E157" s="17">
        <f t="shared" si="14"/>
        <v>0</v>
      </c>
      <c r="F157" s="15">
        <f t="shared" si="14"/>
        <v>0</v>
      </c>
    </row>
    <row r="160" spans="3:17" ht="18.75" x14ac:dyDescent="0.25">
      <c r="C160" s="12" t="s">
        <v>48</v>
      </c>
      <c r="D160" s="12"/>
    </row>
    <row r="161" spans="3:10" ht="18.75" x14ac:dyDescent="0.25">
      <c r="C161" s="6"/>
      <c r="D161" s="3" t="s">
        <v>33</v>
      </c>
      <c r="E161" s="42">
        <v>2022</v>
      </c>
      <c r="F161" s="42"/>
      <c r="G161" s="42">
        <v>2023</v>
      </c>
      <c r="H161" s="42"/>
      <c r="I161" s="42">
        <v>2024</v>
      </c>
      <c r="J161" s="42"/>
    </row>
    <row r="162" spans="3:10" ht="18.75" x14ac:dyDescent="0.25">
      <c r="C162" s="6" t="s">
        <v>38</v>
      </c>
      <c r="D162" s="18">
        <v>9600</v>
      </c>
      <c r="E162" s="28">
        <f>D162*D154</f>
        <v>355200</v>
      </c>
      <c r="F162" s="28"/>
      <c r="G162" s="28">
        <f>D162*E154</f>
        <v>390720</v>
      </c>
      <c r="H162" s="28"/>
      <c r="I162" s="28">
        <f>D162*F154</f>
        <v>429792.00000000012</v>
      </c>
      <c r="J162" s="28"/>
    </row>
    <row r="163" spans="3:10" ht="18.75" x14ac:dyDescent="0.25">
      <c r="C163" s="6" t="s">
        <v>39</v>
      </c>
      <c r="D163" s="18">
        <v>0</v>
      </c>
      <c r="E163" s="28">
        <f>D163*D155</f>
        <v>0</v>
      </c>
      <c r="F163" s="28"/>
      <c r="G163" s="28">
        <f>D163*E155</f>
        <v>0</v>
      </c>
      <c r="H163" s="28"/>
      <c r="I163" s="28">
        <f>D163*F155</f>
        <v>0</v>
      </c>
      <c r="J163" s="28"/>
    </row>
    <row r="164" spans="3:10" ht="18.75" x14ac:dyDescent="0.25">
      <c r="C164" s="6" t="s">
        <v>40</v>
      </c>
      <c r="D164" s="18">
        <v>0</v>
      </c>
      <c r="E164" s="28">
        <f>D164*D156</f>
        <v>0</v>
      </c>
      <c r="F164" s="28"/>
      <c r="G164" s="28">
        <f>D164*E156</f>
        <v>0</v>
      </c>
      <c r="H164" s="28"/>
      <c r="I164" s="28">
        <f>D164*F156</f>
        <v>0</v>
      </c>
      <c r="J164" s="28"/>
    </row>
    <row r="165" spans="3:10" ht="18.75" x14ac:dyDescent="0.25">
      <c r="C165" s="6" t="s">
        <v>41</v>
      </c>
      <c r="D165" s="18">
        <v>0</v>
      </c>
      <c r="E165" s="28">
        <f>D165*D157</f>
        <v>0</v>
      </c>
      <c r="F165" s="28"/>
      <c r="G165" s="28">
        <f>D165*E157</f>
        <v>0</v>
      </c>
      <c r="H165" s="28"/>
      <c r="I165" s="28">
        <f t="shared" ref="I165" si="15">D165*F157</f>
        <v>0</v>
      </c>
      <c r="J165" s="28"/>
    </row>
    <row r="166" spans="3:10" ht="18.75" x14ac:dyDescent="0.25">
      <c r="C166" s="66" t="s">
        <v>34</v>
      </c>
      <c r="D166" s="66"/>
      <c r="E166" s="65">
        <f>SUM(E162:F165)</f>
        <v>355200</v>
      </c>
      <c r="F166" s="65"/>
      <c r="G166" s="65">
        <f>SUM(G162:H165)</f>
        <v>390720</v>
      </c>
      <c r="H166" s="65"/>
      <c r="I166" s="65">
        <f>SUM(I162:J165)</f>
        <v>429792.00000000012</v>
      </c>
      <c r="J166" s="65"/>
    </row>
    <row r="169" spans="3:10" ht="18.75" x14ac:dyDescent="0.25">
      <c r="C169" s="20" t="s">
        <v>86</v>
      </c>
      <c r="D169" s="1"/>
      <c r="E169" s="23">
        <v>2022</v>
      </c>
      <c r="F169" s="23">
        <v>2023</v>
      </c>
      <c r="G169" s="23">
        <v>2024</v>
      </c>
    </row>
    <row r="170" spans="3:10" ht="18.75" x14ac:dyDescent="0.25">
      <c r="C170" s="61" t="s">
        <v>87</v>
      </c>
      <c r="D170" s="62"/>
      <c r="E170" s="21">
        <f>E166</f>
        <v>355200</v>
      </c>
      <c r="F170" s="21">
        <f>G162</f>
        <v>390720</v>
      </c>
      <c r="G170" s="21">
        <f>I162</f>
        <v>429792.00000000012</v>
      </c>
    </row>
    <row r="171" spans="3:10" ht="18.75" x14ac:dyDescent="0.25">
      <c r="C171" s="63" t="s">
        <v>88</v>
      </c>
      <c r="D171" s="64"/>
      <c r="E171" s="21">
        <f>(D154*K59)+(D155*K69)</f>
        <v>0</v>
      </c>
      <c r="F171" s="21">
        <f>E154*K59</f>
        <v>0</v>
      </c>
      <c r="G171" s="21">
        <f>F154*K59</f>
        <v>0</v>
      </c>
    </row>
    <row r="172" spans="3:10" ht="18.75" x14ac:dyDescent="0.25">
      <c r="C172" s="63" t="s">
        <v>89</v>
      </c>
      <c r="D172" s="64"/>
      <c r="E172" s="21">
        <f>E121</f>
        <v>95084</v>
      </c>
      <c r="F172" s="21">
        <f>G121</f>
        <v>99183.2</v>
      </c>
      <c r="G172" s="22">
        <f>I121</f>
        <v>103057.36</v>
      </c>
    </row>
    <row r="173" spans="3:10" ht="18.75" x14ac:dyDescent="0.25">
      <c r="C173" s="63" t="s">
        <v>90</v>
      </c>
      <c r="D173" s="64"/>
      <c r="E173" s="21">
        <f>E132</f>
        <v>63208</v>
      </c>
      <c r="F173" s="21">
        <f>G132</f>
        <v>66318.399999999994</v>
      </c>
      <c r="G173" s="21">
        <f>I132</f>
        <v>69584.320000000007</v>
      </c>
    </row>
    <row r="174" spans="3:10" ht="18.75" x14ac:dyDescent="0.25">
      <c r="C174" s="63" t="s">
        <v>91</v>
      </c>
      <c r="D174" s="64"/>
      <c r="E174" s="21">
        <f>E145</f>
        <v>98852.2</v>
      </c>
      <c r="F174" s="21">
        <f>G145</f>
        <v>104499.4</v>
      </c>
      <c r="G174" s="21">
        <f>I145</f>
        <v>110353.95999999999</v>
      </c>
    </row>
    <row r="175" spans="3:10" ht="18.75" x14ac:dyDescent="0.25">
      <c r="C175" s="59" t="s">
        <v>92</v>
      </c>
      <c r="D175" s="60"/>
      <c r="E175" s="21">
        <f>E170-E172-E173-E174</f>
        <v>98055.8</v>
      </c>
      <c r="F175" s="21">
        <f t="shared" ref="F175:G175" si="16">F170-F172-F173-F174</f>
        <v>120719</v>
      </c>
      <c r="G175" s="21">
        <f t="shared" si="16"/>
        <v>146796.36000000013</v>
      </c>
    </row>
  </sheetData>
  <mergeCells count="346">
    <mergeCell ref="I93:J93"/>
    <mergeCell ref="G105:H105"/>
    <mergeCell ref="I105:J105"/>
    <mergeCell ref="C121:D121"/>
    <mergeCell ref="E121:F121"/>
    <mergeCell ref="G121:H121"/>
    <mergeCell ref="I121:J121"/>
    <mergeCell ref="E86:F86"/>
    <mergeCell ref="I86:J86"/>
    <mergeCell ref="E87:F87"/>
    <mergeCell ref="I87:J87"/>
    <mergeCell ref="E88:F88"/>
    <mergeCell ref="I88:J88"/>
    <mergeCell ref="E99:F99"/>
    <mergeCell ref="I99:J99"/>
    <mergeCell ref="E100:F100"/>
    <mergeCell ref="I100:J100"/>
    <mergeCell ref="I117:J117"/>
    <mergeCell ref="I118:J118"/>
    <mergeCell ref="I119:J119"/>
    <mergeCell ref="I120:J120"/>
    <mergeCell ref="C143:D143"/>
    <mergeCell ref="E143:F143"/>
    <mergeCell ref="G143:H143"/>
    <mergeCell ref="I143:J143"/>
    <mergeCell ref="C175:D175"/>
    <mergeCell ref="C170:D170"/>
    <mergeCell ref="C171:D171"/>
    <mergeCell ref="C172:D172"/>
    <mergeCell ref="C173:D173"/>
    <mergeCell ref="C174:D174"/>
    <mergeCell ref="C145:D145"/>
    <mergeCell ref="E145:F145"/>
    <mergeCell ref="G145:H145"/>
    <mergeCell ref="I145:J145"/>
    <mergeCell ref="E166:F166"/>
    <mergeCell ref="G166:H166"/>
    <mergeCell ref="I166:J166"/>
    <mergeCell ref="C166:D166"/>
    <mergeCell ref="I163:J163"/>
    <mergeCell ref="I164:J164"/>
    <mergeCell ref="I165:J165"/>
    <mergeCell ref="C152:D152"/>
    <mergeCell ref="C148:E148"/>
    <mergeCell ref="G150:H150"/>
    <mergeCell ref="S71:T71"/>
    <mergeCell ref="I80:J80"/>
    <mergeCell ref="I81:J81"/>
    <mergeCell ref="I75:J75"/>
    <mergeCell ref="E80:F80"/>
    <mergeCell ref="E81:F81"/>
    <mergeCell ref="I76:J76"/>
    <mergeCell ref="I78:J78"/>
    <mergeCell ref="I79:J79"/>
    <mergeCell ref="E76:F76"/>
    <mergeCell ref="E77:F77"/>
    <mergeCell ref="E78:F78"/>
    <mergeCell ref="E79:F79"/>
    <mergeCell ref="E75:F75"/>
    <mergeCell ref="I103:J103"/>
    <mergeCell ref="I104:J104"/>
    <mergeCell ref="I111:J111"/>
    <mergeCell ref="I112:J112"/>
    <mergeCell ref="G114:H114"/>
    <mergeCell ref="G115:H115"/>
    <mergeCell ref="G116:H116"/>
    <mergeCell ref="G117:H117"/>
    <mergeCell ref="G118:H118"/>
    <mergeCell ref="G119:H119"/>
    <mergeCell ref="G120:H120"/>
    <mergeCell ref="I113:J113"/>
    <mergeCell ref="I114:J114"/>
    <mergeCell ref="I115:J115"/>
    <mergeCell ref="I116:J116"/>
    <mergeCell ref="E161:F161"/>
    <mergeCell ref="E162:F162"/>
    <mergeCell ref="E163:F163"/>
    <mergeCell ref="I161:J161"/>
    <mergeCell ref="I162:J162"/>
    <mergeCell ref="I138:J138"/>
    <mergeCell ref="E164:F164"/>
    <mergeCell ref="E165:F165"/>
    <mergeCell ref="C72:D72"/>
    <mergeCell ref="G161:H161"/>
    <mergeCell ref="G162:H162"/>
    <mergeCell ref="G163:H163"/>
    <mergeCell ref="G164:H164"/>
    <mergeCell ref="G165:H165"/>
    <mergeCell ref="G101:H101"/>
    <mergeCell ref="G102:H102"/>
    <mergeCell ref="E103:F103"/>
    <mergeCell ref="G103:H103"/>
    <mergeCell ref="E104:F104"/>
    <mergeCell ref="E111:F111"/>
    <mergeCell ref="G111:H111"/>
    <mergeCell ref="E112:F112"/>
    <mergeCell ref="C111:D111"/>
    <mergeCell ref="C112:D112"/>
    <mergeCell ref="G104:H104"/>
    <mergeCell ref="G112:H112"/>
    <mergeCell ref="G113:H113"/>
    <mergeCell ref="E89:F89"/>
    <mergeCell ref="E101:F101"/>
    <mergeCell ref="G127:H127"/>
    <mergeCell ref="I101:J101"/>
    <mergeCell ref="E102:F102"/>
    <mergeCell ref="I102:J102"/>
    <mergeCell ref="G100:H100"/>
    <mergeCell ref="C67:F67"/>
    <mergeCell ref="G67:H67"/>
    <mergeCell ref="K67:L67"/>
    <mergeCell ref="C68:F68"/>
    <mergeCell ref="G68:H68"/>
    <mergeCell ref="K68:L68"/>
    <mergeCell ref="K69:L69"/>
    <mergeCell ref="I89:J89"/>
    <mergeCell ref="E90:F90"/>
    <mergeCell ref="I90:J90"/>
    <mergeCell ref="E98:F98"/>
    <mergeCell ref="I98:J98"/>
    <mergeCell ref="E91:F91"/>
    <mergeCell ref="I91:J91"/>
    <mergeCell ref="E92:F92"/>
    <mergeCell ref="I92:J92"/>
    <mergeCell ref="I77:J77"/>
    <mergeCell ref="I82:J82"/>
    <mergeCell ref="G82:H82"/>
    <mergeCell ref="G93:H93"/>
    <mergeCell ref="G65:H65"/>
    <mergeCell ref="K65:L65"/>
    <mergeCell ref="C66:F66"/>
    <mergeCell ref="G66:H66"/>
    <mergeCell ref="K66:L66"/>
    <mergeCell ref="C65:F65"/>
    <mergeCell ref="C63:F63"/>
    <mergeCell ref="G63:H63"/>
    <mergeCell ref="K63:L63"/>
    <mergeCell ref="C64:F64"/>
    <mergeCell ref="G64:H64"/>
    <mergeCell ref="K64:L64"/>
    <mergeCell ref="C22:I22"/>
    <mergeCell ref="C3:E3"/>
    <mergeCell ref="C14:D14"/>
    <mergeCell ref="C16:I16"/>
    <mergeCell ref="C17:I17"/>
    <mergeCell ref="C18:I18"/>
    <mergeCell ref="C10:I10"/>
    <mergeCell ref="C11:I11"/>
    <mergeCell ref="C15:D15"/>
    <mergeCell ref="C19:I19"/>
    <mergeCell ref="C20:I20"/>
    <mergeCell ref="C4:I4"/>
    <mergeCell ref="C5:I5"/>
    <mergeCell ref="C6:I6"/>
    <mergeCell ref="C7:I7"/>
    <mergeCell ref="C8:I8"/>
    <mergeCell ref="C9:I9"/>
    <mergeCell ref="C21:I21"/>
    <mergeCell ref="J4:L4"/>
    <mergeCell ref="J5:L5"/>
    <mergeCell ref="J6:L6"/>
    <mergeCell ref="J7:L7"/>
    <mergeCell ref="J8:L8"/>
    <mergeCell ref="J9:L9"/>
    <mergeCell ref="J10:L10"/>
    <mergeCell ref="J11:L11"/>
    <mergeCell ref="M24:O24"/>
    <mergeCell ref="M19:O19"/>
    <mergeCell ref="M20:O20"/>
    <mergeCell ref="M21:O21"/>
    <mergeCell ref="M22:O22"/>
    <mergeCell ref="M23:O23"/>
    <mergeCell ref="J16:L16"/>
    <mergeCell ref="J17:L17"/>
    <mergeCell ref="J18:L18"/>
    <mergeCell ref="J19:L19"/>
    <mergeCell ref="J20:L20"/>
    <mergeCell ref="J21:L21"/>
    <mergeCell ref="J22:L22"/>
    <mergeCell ref="M16:O16"/>
    <mergeCell ref="M17:O17"/>
    <mergeCell ref="M18:O18"/>
    <mergeCell ref="C62:I62"/>
    <mergeCell ref="J62:K62"/>
    <mergeCell ref="L62:M62"/>
    <mergeCell ref="C23:I23"/>
    <mergeCell ref="J23:L23"/>
    <mergeCell ref="J27:L27"/>
    <mergeCell ref="J28:L28"/>
    <mergeCell ref="K59:L59"/>
    <mergeCell ref="C58:F58"/>
    <mergeCell ref="G58:H58"/>
    <mergeCell ref="C57:F57"/>
    <mergeCell ref="G57:H57"/>
    <mergeCell ref="C32:I32"/>
    <mergeCell ref="C33:I33"/>
    <mergeCell ref="J32:L32"/>
    <mergeCell ref="J33:L33"/>
    <mergeCell ref="C24:I24"/>
    <mergeCell ref="J24:L24"/>
    <mergeCell ref="C29:I29"/>
    <mergeCell ref="J29:L29"/>
    <mergeCell ref="C48:D48"/>
    <mergeCell ref="K55:L55"/>
    <mergeCell ref="K54:L54"/>
    <mergeCell ref="M34:N34"/>
    <mergeCell ref="K56:L56"/>
    <mergeCell ref="C56:F56"/>
    <mergeCell ref="G56:H56"/>
    <mergeCell ref="C55:F55"/>
    <mergeCell ref="G55:H55"/>
    <mergeCell ref="L52:M52"/>
    <mergeCell ref="K57:L57"/>
    <mergeCell ref="K58:L58"/>
    <mergeCell ref="D61:G61"/>
    <mergeCell ref="J52:K52"/>
    <mergeCell ref="C54:F54"/>
    <mergeCell ref="C53:F53"/>
    <mergeCell ref="G53:H53"/>
    <mergeCell ref="G54:H54"/>
    <mergeCell ref="K53:L53"/>
    <mergeCell ref="C52:I5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C138:D138"/>
    <mergeCell ref="C132:D132"/>
    <mergeCell ref="E132:F132"/>
    <mergeCell ref="G132:H132"/>
    <mergeCell ref="I132:J132"/>
    <mergeCell ref="C126:D126"/>
    <mergeCell ref="C129:D129"/>
    <mergeCell ref="E129:F129"/>
    <mergeCell ref="G129:H129"/>
    <mergeCell ref="I129:J129"/>
    <mergeCell ref="C130:D130"/>
    <mergeCell ref="E130:F130"/>
    <mergeCell ref="G130:H130"/>
    <mergeCell ref="I130:J130"/>
    <mergeCell ref="E126:F126"/>
    <mergeCell ref="I126:J126"/>
    <mergeCell ref="C127:D127"/>
    <mergeCell ref="E127:F127"/>
    <mergeCell ref="I127:J127"/>
    <mergeCell ref="C128:D128"/>
    <mergeCell ref="E128:F128"/>
    <mergeCell ref="G128:H128"/>
    <mergeCell ref="I128:J128"/>
    <mergeCell ref="G126:H126"/>
    <mergeCell ref="G138:H138"/>
    <mergeCell ref="D51:G51"/>
    <mergeCell ref="G142:H142"/>
    <mergeCell ref="I142:J142"/>
    <mergeCell ref="C139:D139"/>
    <mergeCell ref="E139:F139"/>
    <mergeCell ref="G139:H139"/>
    <mergeCell ref="I139:J139"/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31:D131"/>
    <mergeCell ref="E131:F131"/>
    <mergeCell ref="G131:H131"/>
    <mergeCell ref="I131:J131"/>
    <mergeCell ref="C137:D137"/>
    <mergeCell ref="E137:F137"/>
    <mergeCell ref="G137:H137"/>
    <mergeCell ref="I137:J137"/>
    <mergeCell ref="M40:O40"/>
    <mergeCell ref="C144:D144"/>
    <mergeCell ref="E144:F144"/>
    <mergeCell ref="G144:H144"/>
    <mergeCell ref="I144:J144"/>
    <mergeCell ref="G75:H75"/>
    <mergeCell ref="G76:H76"/>
    <mergeCell ref="G77:H77"/>
    <mergeCell ref="G78:H78"/>
    <mergeCell ref="G79:H79"/>
    <mergeCell ref="G80:H80"/>
    <mergeCell ref="G81:H81"/>
    <mergeCell ref="G86:H86"/>
    <mergeCell ref="G87:H87"/>
    <mergeCell ref="G88:H88"/>
    <mergeCell ref="G89:H89"/>
    <mergeCell ref="G90:H90"/>
    <mergeCell ref="G91:H91"/>
    <mergeCell ref="G92:H92"/>
    <mergeCell ref="G98:H98"/>
    <mergeCell ref="G99:H99"/>
    <mergeCell ref="C142:D142"/>
    <mergeCell ref="E142:F142"/>
    <mergeCell ref="E138:F138"/>
    <mergeCell ref="M38:O38"/>
    <mergeCell ref="C27:I27"/>
    <mergeCell ref="C28:I28"/>
    <mergeCell ref="C26:D26"/>
    <mergeCell ref="C34:I34"/>
    <mergeCell ref="J34:L34"/>
    <mergeCell ref="C31:E31"/>
    <mergeCell ref="M28:O28"/>
    <mergeCell ref="M32:N32"/>
    <mergeCell ref="M33:N33"/>
    <mergeCell ref="M27:O27"/>
    <mergeCell ref="C36:E36"/>
    <mergeCell ref="C44:L44"/>
    <mergeCell ref="M29:O29"/>
    <mergeCell ref="M44:O44"/>
    <mergeCell ref="C1:D1"/>
    <mergeCell ref="E1:H1"/>
    <mergeCell ref="I1:J1"/>
    <mergeCell ref="K1:O1"/>
    <mergeCell ref="M2:O2"/>
    <mergeCell ref="C41:I41"/>
    <mergeCell ref="J41:L41"/>
    <mergeCell ref="M41:O41"/>
    <mergeCell ref="C42:I42"/>
    <mergeCell ref="J42:L42"/>
    <mergeCell ref="M42:O42"/>
    <mergeCell ref="C43:I43"/>
    <mergeCell ref="J43:L43"/>
    <mergeCell ref="M43:O43"/>
    <mergeCell ref="C39:I39"/>
    <mergeCell ref="J39:L39"/>
    <mergeCell ref="M39:O39"/>
    <mergeCell ref="C40:I40"/>
    <mergeCell ref="J40:L40"/>
    <mergeCell ref="C38:D38"/>
    <mergeCell ref="J38:L38"/>
  </mergeCells>
  <pageMargins left="0.7" right="0.7" top="0.75" bottom="0.75" header="0.3" footer="0.3"/>
  <pageSetup paperSize="9" scale="71" orientation="landscape" r:id="rId1"/>
  <rowBreaks count="4" manualBreakCount="4">
    <brk id="34" max="14" man="1"/>
    <brk id="70" max="14" man="1"/>
    <brk id="108" max="14" man="1"/>
    <brk id="147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workbookViewId="0">
      <selection activeCell="C8" sqref="C8"/>
    </sheetView>
  </sheetViews>
  <sheetFormatPr defaultRowHeight="15" x14ac:dyDescent="0.2"/>
  <cols>
    <col min="2" max="2" width="16.54296875" bestFit="1" customWidth="1"/>
    <col min="3" max="3" width="9.953125" bestFit="1" customWidth="1"/>
    <col min="4" max="4" width="11.1640625" bestFit="1" customWidth="1"/>
  </cols>
  <sheetData>
    <row r="2" spans="2:4" x14ac:dyDescent="0.2">
      <c r="B2" t="s">
        <v>14</v>
      </c>
      <c r="C2" t="s">
        <v>15</v>
      </c>
      <c r="D2" t="s">
        <v>16</v>
      </c>
    </row>
    <row r="3" spans="2:4" x14ac:dyDescent="0.2">
      <c r="B3" t="s">
        <v>17</v>
      </c>
      <c r="C3">
        <v>0.28228300000000001</v>
      </c>
      <c r="D3">
        <v>3.5425499999999999</v>
      </c>
    </row>
    <row r="4" spans="2:4" x14ac:dyDescent="0.2">
      <c r="B4" t="s">
        <v>18</v>
      </c>
      <c r="C4">
        <v>0.255388</v>
      </c>
      <c r="D4">
        <v>3.9156170000000001</v>
      </c>
    </row>
    <row r="5" spans="2:4" x14ac:dyDescent="0.2">
      <c r="B5" t="s">
        <v>19</v>
      </c>
      <c r="C5">
        <v>0.226601</v>
      </c>
      <c r="D5">
        <v>4.4130510000000003</v>
      </c>
    </row>
    <row r="6" spans="2:4" x14ac:dyDescent="0.2">
      <c r="B6" t="s">
        <v>20</v>
      </c>
      <c r="C6">
        <v>20.124084</v>
      </c>
      <c r="D6">
        <v>4.9692E-2</v>
      </c>
    </row>
    <row r="7" spans="2:4" x14ac:dyDescent="0.2">
      <c r="B7" t="s">
        <v>21</v>
      </c>
      <c r="C7">
        <v>0.41304000000000002</v>
      </c>
      <c r="D7">
        <v>2.4210720000000001</v>
      </c>
    </row>
    <row r="8" spans="2:4" x14ac:dyDescent="0.2">
      <c r="B8" t="s">
        <v>22</v>
      </c>
      <c r="C8">
        <v>0.37441200000000002</v>
      </c>
      <c r="D8">
        <v>2.6708539999999998</v>
      </c>
    </row>
    <row r="9" spans="2:4" x14ac:dyDescent="0.2">
      <c r="B9" t="s">
        <v>23</v>
      </c>
      <c r="C9">
        <v>0.388096</v>
      </c>
      <c r="D9">
        <v>2.5766849999999999</v>
      </c>
    </row>
    <row r="10" spans="2:4" x14ac:dyDescent="0.2">
      <c r="B10" t="s">
        <v>24</v>
      </c>
      <c r="C10">
        <v>0.280864</v>
      </c>
      <c r="D10">
        <v>3.560438</v>
      </c>
    </row>
    <row r="11" spans="2:4" x14ac:dyDescent="0.2">
      <c r="B11" t="s">
        <v>25</v>
      </c>
      <c r="C11">
        <v>1.181081</v>
      </c>
      <c r="D11">
        <v>0.84668200000000005</v>
      </c>
    </row>
    <row r="12" spans="2:4" x14ac:dyDescent="0.2">
      <c r="B12" t="s">
        <v>26</v>
      </c>
      <c r="C12">
        <v>30.539967000000001</v>
      </c>
      <c r="D12">
        <v>3.2744000000000002E-2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Sheet2!_?from_ILS_amount_1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Baher M Dkedik</dc:creator>
  <cp:lastModifiedBy>Mohanad Homran</cp:lastModifiedBy>
  <cp:lastPrinted>2021-06-24T06:50:00Z</cp:lastPrinted>
  <dcterms:created xsi:type="dcterms:W3CDTF">2019-09-18T07:03:50Z</dcterms:created>
  <dcterms:modified xsi:type="dcterms:W3CDTF">2022-02-26T16:19:12Z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4701b-870c-41f5-81b1-b52e4974867b_Enabled">
    <vt:lpwstr>true</vt:lpwstr>
  </property>
  <property fmtid="{D5CDD505-2E9C-101B-9397-08002B2CF9AE}" pid="3" name="MSIP_Label_8ec4701b-870c-41f5-81b1-b52e4974867b_SetDate">
    <vt:lpwstr>2022-02-26T21:10:11Z</vt:lpwstr>
  </property>
  <property fmtid="{D5CDD505-2E9C-101B-9397-08002B2CF9AE}" pid="4" name="MSIP_Label_8ec4701b-870c-41f5-81b1-b52e4974867b_Method">
    <vt:lpwstr>Privileged</vt:lpwstr>
  </property>
  <property fmtid="{D5CDD505-2E9C-101B-9397-08002B2CF9AE}" pid="5" name="MSIP_Label_8ec4701b-870c-41f5-81b1-b52e4974867b_Name">
    <vt:lpwstr>External_OP</vt:lpwstr>
  </property>
  <property fmtid="{D5CDD505-2E9C-101B-9397-08002B2CF9AE}" pid="6" name="MSIP_Label_8ec4701b-870c-41f5-81b1-b52e4974867b_SiteId">
    <vt:lpwstr>0cf84c3a-8693-4d42-b55d-1c3b7cbfcd89</vt:lpwstr>
  </property>
  <property fmtid="{D5CDD505-2E9C-101B-9397-08002B2CF9AE}" pid="7" name="MSIP_Label_8ec4701b-870c-41f5-81b1-b52e4974867b_ActionId">
    <vt:lpwstr>71caed66-4132-4134-aa7e-398eb86e3165</vt:lpwstr>
  </property>
  <property fmtid="{D5CDD505-2E9C-101B-9397-08002B2CF9AE}" pid="8" name="MSIP_Label_8ec4701b-870c-41f5-81b1-b52e4974867b_ContentBits">
    <vt:lpwstr>0</vt:lpwstr>
  </property>
</Properties>
</file>